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sra/MyDocuments-Local/School/MIDAS/Inputs/MCID-MultiLayeredv5/"/>
    </mc:Choice>
  </mc:AlternateContent>
  <xr:revisionPtr revIDLastSave="0" documentId="13_ncr:1_{E4E6CA53-725A-9644-ADCD-610D70F13676}" xr6:coauthVersionLast="47" xr6:coauthVersionMax="47" xr10:uidLastSave="{00000000-0000-0000-0000-000000000000}"/>
  <bookViews>
    <workbookView xWindow="-38400" yWindow="-1480" windowWidth="38400" windowHeight="21120" tabRatio="500" activeTab="2" xr2:uid="{00000000-000D-0000-FFFF-FFFF00000000}"/>
  </bookViews>
  <sheets>
    <sheet name="MainParams" sheetId="1" r:id="rId1"/>
    <sheet name="CO2_thicknesses" sheetId="2" r:id="rId2"/>
    <sheet name="H2O_thickness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" i="2" l="1"/>
  <c r="D1" i="2"/>
  <c r="E1" i="2"/>
  <c r="F1" i="2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CX1" i="2" s="1"/>
  <c r="CY1" i="2" s="1"/>
  <c r="CZ1" i="2" s="1"/>
  <c r="DA1" i="2" s="1"/>
  <c r="DB1" i="2" s="1"/>
  <c r="DC1" i="2" s="1"/>
  <c r="DD1" i="2" s="1"/>
  <c r="DE1" i="2" s="1"/>
  <c r="DF1" i="2" s="1"/>
  <c r="DG1" i="2" s="1"/>
  <c r="DH1" i="2" s="1"/>
  <c r="DI1" i="2" s="1"/>
  <c r="DJ1" i="2" s="1"/>
  <c r="DK1" i="2" s="1"/>
  <c r="DL1" i="2" s="1"/>
  <c r="DM1" i="2" s="1"/>
  <c r="DN1" i="2" s="1"/>
  <c r="DO1" i="2" s="1"/>
  <c r="DP1" i="2" s="1"/>
  <c r="DQ1" i="2" s="1"/>
  <c r="DR1" i="2" s="1"/>
  <c r="DS1" i="2" s="1"/>
  <c r="DT1" i="2" s="1"/>
  <c r="DU1" i="2" s="1"/>
  <c r="DV1" i="2" s="1"/>
  <c r="DW1" i="2" s="1"/>
  <c r="DX1" i="2" s="1"/>
  <c r="DY1" i="2" s="1"/>
  <c r="DZ1" i="2" s="1"/>
  <c r="EA1" i="2" s="1"/>
  <c r="EB1" i="2" s="1"/>
  <c r="EC1" i="2" s="1"/>
  <c r="ED1" i="2" s="1"/>
  <c r="EE1" i="2" s="1"/>
  <c r="EF1" i="2" s="1"/>
  <c r="EG1" i="2" s="1"/>
  <c r="EH1" i="2" s="1"/>
  <c r="EI1" i="2" s="1"/>
  <c r="EJ1" i="2" s="1"/>
  <c r="EK1" i="2" s="1"/>
  <c r="EL1" i="2" s="1"/>
  <c r="EM1" i="2" s="1"/>
  <c r="EN1" i="2" s="1"/>
  <c r="EO1" i="2" s="1"/>
  <c r="EP1" i="2" s="1"/>
  <c r="EQ1" i="2" s="1"/>
  <c r="ER1" i="2" s="1"/>
  <c r="ES1" i="2" s="1"/>
  <c r="ET1" i="2" s="1"/>
  <c r="EU1" i="2" s="1"/>
  <c r="EV1" i="2" s="1"/>
  <c r="EW1" i="2" s="1"/>
  <c r="EX1" i="2" s="1"/>
  <c r="EY1" i="2" s="1"/>
  <c r="EZ1" i="2" s="1"/>
  <c r="FA1" i="2" s="1"/>
  <c r="FB1" i="2" s="1"/>
  <c r="FC1" i="2" s="1"/>
  <c r="FD1" i="2" s="1"/>
  <c r="FE1" i="2" s="1"/>
  <c r="FF1" i="2" s="1"/>
  <c r="FG1" i="2" s="1"/>
  <c r="FH1" i="2" s="1"/>
  <c r="FI1" i="2" s="1"/>
  <c r="FJ1" i="2" s="1"/>
  <c r="FK1" i="2" s="1"/>
  <c r="FL1" i="2" s="1"/>
  <c r="FM1" i="2" s="1"/>
  <c r="FN1" i="2" s="1"/>
  <c r="FO1" i="2" s="1"/>
  <c r="FP1" i="2" s="1"/>
  <c r="FQ1" i="2" s="1"/>
  <c r="FR1" i="2" s="1"/>
  <c r="FS1" i="2" s="1"/>
  <c r="FT1" i="2" s="1"/>
  <c r="FU1" i="2" s="1"/>
  <c r="FV1" i="2" s="1"/>
  <c r="FW1" i="2" s="1"/>
  <c r="FX1" i="2" s="1"/>
  <c r="FY1" i="2" s="1"/>
  <c r="FZ1" i="2" s="1"/>
  <c r="GA1" i="2" s="1"/>
  <c r="GB1" i="2" s="1"/>
  <c r="GC1" i="2" s="1"/>
  <c r="GD1" i="2" s="1"/>
  <c r="GE1" i="2" s="1"/>
  <c r="GF1" i="2" s="1"/>
  <c r="GG1" i="2" s="1"/>
  <c r="GH1" i="2" s="1"/>
  <c r="GI1" i="2" s="1"/>
  <c r="GJ1" i="2" s="1"/>
  <c r="GK1" i="2" s="1"/>
  <c r="GL1" i="2" s="1"/>
  <c r="GM1" i="2" s="1"/>
  <c r="GN1" i="2" s="1"/>
  <c r="GO1" i="2" s="1"/>
  <c r="GP1" i="2" s="1"/>
  <c r="GQ1" i="2" s="1"/>
  <c r="GR1" i="2" s="1"/>
  <c r="GS1" i="2" s="1"/>
  <c r="GT1" i="2" s="1"/>
  <c r="GU1" i="2" s="1"/>
  <c r="GV1" i="2" s="1"/>
  <c r="GW1" i="2" s="1"/>
  <c r="GX1" i="2" s="1"/>
  <c r="GY1" i="2" s="1"/>
  <c r="GZ1" i="2" s="1"/>
  <c r="HA1" i="2" s="1"/>
  <c r="HB1" i="2" s="1"/>
  <c r="HC1" i="2" s="1"/>
  <c r="HD1" i="2" s="1"/>
  <c r="HE1" i="2" s="1"/>
  <c r="HF1" i="2" s="1"/>
  <c r="HG1" i="2" s="1"/>
  <c r="HH1" i="2" s="1"/>
  <c r="HI1" i="2" s="1"/>
  <c r="HJ1" i="2" s="1"/>
  <c r="HK1" i="2" s="1"/>
  <c r="HL1" i="2" s="1"/>
  <c r="HM1" i="2" s="1"/>
  <c r="HN1" i="2" s="1"/>
  <c r="HO1" i="2" s="1"/>
  <c r="HP1" i="2" s="1"/>
  <c r="HQ1" i="2" s="1"/>
  <c r="HR1" i="2" s="1"/>
  <c r="HS1" i="2" s="1"/>
  <c r="HT1" i="2" s="1"/>
  <c r="HU1" i="2" s="1"/>
  <c r="HV1" i="2" s="1"/>
  <c r="HW1" i="2" s="1"/>
  <c r="HX1" i="2" s="1"/>
  <c r="HY1" i="2" s="1"/>
  <c r="HZ1" i="2" s="1"/>
  <c r="IA1" i="2" s="1"/>
  <c r="IB1" i="2" s="1"/>
  <c r="IC1" i="2" s="1"/>
  <c r="ID1" i="2" s="1"/>
  <c r="IE1" i="2" s="1"/>
  <c r="IF1" i="2" s="1"/>
  <c r="IG1" i="2" s="1"/>
  <c r="IH1" i="2" s="1"/>
  <c r="II1" i="2" s="1"/>
  <c r="IJ1" i="2" s="1"/>
  <c r="IK1" i="2" s="1"/>
  <c r="IL1" i="2" s="1"/>
  <c r="IM1" i="2" s="1"/>
  <c r="IN1" i="2" s="1"/>
  <c r="IO1" i="2" s="1"/>
  <c r="IP1" i="2" s="1"/>
  <c r="IQ1" i="2" s="1"/>
  <c r="IR1" i="2" s="1"/>
  <c r="IS1" i="2" s="1"/>
  <c r="IT1" i="2" s="1"/>
  <c r="IU1" i="2" s="1"/>
  <c r="IV1" i="2" s="1"/>
  <c r="IW1" i="2" s="1"/>
  <c r="IX1" i="2" s="1"/>
  <c r="IY1" i="2" s="1"/>
  <c r="IZ1" i="2" s="1"/>
  <c r="JA1" i="2" s="1"/>
  <c r="JB1" i="2" s="1"/>
  <c r="JC1" i="2" s="1"/>
  <c r="JD1" i="2" s="1"/>
  <c r="JE1" i="2" s="1"/>
  <c r="JF1" i="2" s="1"/>
  <c r="JG1" i="2" s="1"/>
  <c r="JH1" i="2" s="1"/>
  <c r="JI1" i="2" s="1"/>
  <c r="JJ1" i="2" s="1"/>
  <c r="JK1" i="2" s="1"/>
  <c r="JL1" i="2" s="1"/>
  <c r="JM1" i="2" s="1"/>
  <c r="JN1" i="2" s="1"/>
  <c r="JO1" i="2" s="1"/>
  <c r="JP1" i="2" s="1"/>
  <c r="JQ1" i="2" s="1"/>
  <c r="JR1" i="2" s="1"/>
  <c r="JS1" i="2" s="1"/>
  <c r="JT1" i="2" s="1"/>
  <c r="JU1" i="2" s="1"/>
  <c r="JV1" i="2" s="1"/>
  <c r="JW1" i="2" s="1"/>
  <c r="JX1" i="2" s="1"/>
  <c r="JY1" i="2" s="1"/>
  <c r="JZ1" i="2" s="1"/>
  <c r="KA1" i="2" s="1"/>
  <c r="KB1" i="2" s="1"/>
  <c r="KC1" i="2" s="1"/>
  <c r="KD1" i="2" s="1"/>
  <c r="KE1" i="2" s="1"/>
  <c r="KF1" i="2" s="1"/>
  <c r="KG1" i="2" s="1"/>
  <c r="KH1" i="2" s="1"/>
  <c r="KI1" i="2" s="1"/>
  <c r="KJ1" i="2" s="1"/>
  <c r="KK1" i="2" s="1"/>
  <c r="KL1" i="2" s="1"/>
  <c r="KM1" i="2" s="1"/>
  <c r="KN1" i="2" s="1"/>
  <c r="KO1" i="2" s="1"/>
  <c r="KP1" i="2" s="1"/>
  <c r="KQ1" i="2" s="1"/>
  <c r="KR1" i="2" s="1"/>
  <c r="KS1" i="2" s="1"/>
  <c r="KT1" i="2" s="1"/>
  <c r="KU1" i="2" s="1"/>
  <c r="KV1" i="2" s="1"/>
  <c r="KW1" i="2" s="1"/>
  <c r="KX1" i="2" s="1"/>
  <c r="KY1" i="2" s="1"/>
  <c r="KZ1" i="2" s="1"/>
  <c r="LA1" i="2" s="1"/>
  <c r="LB1" i="2" s="1"/>
  <c r="LC1" i="2" s="1"/>
  <c r="LD1" i="2" s="1"/>
  <c r="LE1" i="2" s="1"/>
  <c r="LF1" i="2" s="1"/>
  <c r="LG1" i="2" s="1"/>
  <c r="LH1" i="2" s="1"/>
  <c r="LI1" i="2" s="1"/>
  <c r="LJ1" i="2" s="1"/>
  <c r="LK1" i="2" s="1"/>
  <c r="LL1" i="2" s="1"/>
  <c r="LM1" i="2" s="1"/>
  <c r="LN1" i="2" s="1"/>
  <c r="LO1" i="2" s="1"/>
  <c r="LP1" i="2" s="1"/>
  <c r="LQ1" i="2" s="1"/>
  <c r="LR1" i="2" s="1"/>
  <c r="LS1" i="2" s="1"/>
  <c r="LT1" i="2" s="1"/>
  <c r="LU1" i="2" s="1"/>
  <c r="LV1" i="2" s="1"/>
  <c r="LW1" i="2" s="1"/>
  <c r="LX1" i="2" s="1"/>
  <c r="LY1" i="2" s="1"/>
  <c r="LZ1" i="2" s="1"/>
  <c r="MA1" i="2" s="1"/>
  <c r="MB1" i="2" s="1"/>
  <c r="MC1" i="2" s="1"/>
  <c r="MD1" i="2" s="1"/>
  <c r="ME1" i="2" s="1"/>
  <c r="MF1" i="2" s="1"/>
  <c r="MG1" i="2" s="1"/>
  <c r="MH1" i="2" s="1"/>
  <c r="MI1" i="2" s="1"/>
  <c r="MJ1" i="2" s="1"/>
  <c r="MK1" i="2" s="1"/>
  <c r="ML1" i="2" s="1"/>
  <c r="MM1" i="2" s="1"/>
  <c r="MN1" i="2" s="1"/>
  <c r="MO1" i="2" s="1"/>
  <c r="MP1" i="2" s="1"/>
  <c r="MQ1" i="2" s="1"/>
  <c r="MR1" i="2" s="1"/>
  <c r="MS1" i="2" s="1"/>
  <c r="MT1" i="2" s="1"/>
  <c r="MU1" i="2" s="1"/>
  <c r="MV1" i="2" s="1"/>
  <c r="MW1" i="2" s="1"/>
  <c r="MX1" i="2" s="1"/>
  <c r="MY1" i="2" s="1"/>
  <c r="MZ1" i="2" s="1"/>
  <c r="NA1" i="2" s="1"/>
  <c r="NB1" i="2" s="1"/>
  <c r="NC1" i="2" s="1"/>
  <c r="ND1" i="2" s="1"/>
  <c r="NE1" i="2" s="1"/>
  <c r="NF1" i="2" s="1"/>
  <c r="NG1" i="2" s="1"/>
  <c r="NH1" i="2" s="1"/>
  <c r="NI1" i="2" s="1"/>
  <c r="NJ1" i="2" s="1"/>
  <c r="NK1" i="2" s="1"/>
  <c r="NL1" i="2" s="1"/>
  <c r="NM1" i="2" s="1"/>
  <c r="NN1" i="2" s="1"/>
  <c r="NO1" i="2" s="1"/>
  <c r="NP1" i="2" s="1"/>
  <c r="NQ1" i="2" s="1"/>
  <c r="NR1" i="2" s="1"/>
  <c r="NS1" i="2" s="1"/>
  <c r="NT1" i="2" s="1"/>
  <c r="NU1" i="2" s="1"/>
  <c r="NV1" i="2" s="1"/>
  <c r="NW1" i="2" s="1"/>
  <c r="NX1" i="2" s="1"/>
  <c r="NY1" i="2" s="1"/>
  <c r="NZ1" i="2" s="1"/>
  <c r="OA1" i="2" s="1"/>
  <c r="OB1" i="2" s="1"/>
  <c r="OC1" i="2" s="1"/>
  <c r="OD1" i="2" s="1"/>
  <c r="OE1" i="2" s="1"/>
  <c r="OF1" i="2" s="1"/>
  <c r="OG1" i="2" s="1"/>
  <c r="OH1" i="2" s="1"/>
  <c r="OI1" i="2" s="1"/>
  <c r="OJ1" i="2" s="1"/>
  <c r="OK1" i="2" s="1"/>
  <c r="OL1" i="2" s="1"/>
  <c r="OM1" i="2" s="1"/>
  <c r="ON1" i="2" s="1"/>
  <c r="OO1" i="2" s="1"/>
  <c r="OP1" i="2" s="1"/>
  <c r="OQ1" i="2" s="1"/>
  <c r="OR1" i="2" s="1"/>
  <c r="OS1" i="2" s="1"/>
  <c r="OT1" i="2" s="1"/>
  <c r="OU1" i="2" s="1"/>
  <c r="OV1" i="2" s="1"/>
  <c r="OW1" i="2" s="1"/>
  <c r="OX1" i="2" s="1"/>
  <c r="OY1" i="2" s="1"/>
  <c r="OZ1" i="2" s="1"/>
  <c r="PA1" i="2" s="1"/>
  <c r="PB1" i="2" s="1"/>
  <c r="PC1" i="2" s="1"/>
  <c r="PD1" i="2" s="1"/>
  <c r="PE1" i="2" s="1"/>
  <c r="PF1" i="2" s="1"/>
  <c r="PG1" i="2" s="1"/>
  <c r="PH1" i="2" s="1"/>
  <c r="PI1" i="2" s="1"/>
  <c r="PJ1" i="2" s="1"/>
  <c r="PK1" i="2" s="1"/>
  <c r="PL1" i="2" s="1"/>
  <c r="PM1" i="2" s="1"/>
  <c r="PN1" i="2" s="1"/>
  <c r="PO1" i="2" s="1"/>
  <c r="PP1" i="2" s="1"/>
  <c r="PQ1" i="2" s="1"/>
  <c r="PR1" i="2" s="1"/>
  <c r="PS1" i="2" s="1"/>
  <c r="PT1" i="2" s="1"/>
  <c r="PU1" i="2" s="1"/>
  <c r="PV1" i="2" s="1"/>
  <c r="PW1" i="2" s="1"/>
  <c r="PX1" i="2" s="1"/>
  <c r="PY1" i="2" s="1"/>
  <c r="PZ1" i="2" s="1"/>
  <c r="QA1" i="2" s="1"/>
  <c r="QB1" i="2" s="1"/>
  <c r="QC1" i="2" s="1"/>
  <c r="QD1" i="2" s="1"/>
  <c r="QE1" i="2" s="1"/>
  <c r="QF1" i="2" s="1"/>
  <c r="QG1" i="2" s="1"/>
  <c r="QH1" i="2" s="1"/>
  <c r="QI1" i="2" s="1"/>
  <c r="QJ1" i="2" s="1"/>
  <c r="QK1" i="2" s="1"/>
  <c r="QL1" i="2" s="1"/>
  <c r="QM1" i="2" s="1"/>
  <c r="QN1" i="2" s="1"/>
  <c r="QO1" i="2" s="1"/>
  <c r="QP1" i="2" s="1"/>
  <c r="QQ1" i="2" s="1"/>
  <c r="QR1" i="2" s="1"/>
  <c r="QS1" i="2" s="1"/>
  <c r="QT1" i="2" s="1"/>
  <c r="QU1" i="2" s="1"/>
  <c r="QV1" i="2" s="1"/>
  <c r="QW1" i="2" s="1"/>
  <c r="QX1" i="2" s="1"/>
  <c r="QY1" i="2" s="1"/>
  <c r="QZ1" i="2" s="1"/>
  <c r="RA1" i="2" s="1"/>
  <c r="RB1" i="2" s="1"/>
  <c r="RC1" i="2" s="1"/>
  <c r="RD1" i="2" s="1"/>
  <c r="RE1" i="2" s="1"/>
  <c r="RF1" i="2" s="1"/>
  <c r="RG1" i="2" s="1"/>
  <c r="RH1" i="2" s="1"/>
  <c r="RI1" i="2" s="1"/>
  <c r="RJ1" i="2" s="1"/>
  <c r="RK1" i="2" s="1"/>
  <c r="RL1" i="2" s="1"/>
  <c r="RM1" i="2" s="1"/>
  <c r="RN1" i="2" s="1"/>
  <c r="RO1" i="2" s="1"/>
  <c r="RP1" i="2" s="1"/>
  <c r="RQ1" i="2" s="1"/>
  <c r="RR1" i="2" s="1"/>
  <c r="RS1" i="2" s="1"/>
  <c r="RT1" i="2" s="1"/>
  <c r="RU1" i="2" s="1"/>
  <c r="RV1" i="2" s="1"/>
  <c r="RW1" i="2" s="1"/>
  <c r="RX1" i="2" s="1"/>
  <c r="RY1" i="2" s="1"/>
  <c r="RZ1" i="2" s="1"/>
  <c r="SA1" i="2" s="1"/>
  <c r="SB1" i="2" s="1"/>
  <c r="SC1" i="2" s="1"/>
  <c r="SD1" i="2" s="1"/>
  <c r="SE1" i="2" s="1"/>
  <c r="SF1" i="2" s="1"/>
  <c r="SG1" i="2" s="1"/>
  <c r="SH1" i="2" s="1"/>
  <c r="SI1" i="2" s="1"/>
  <c r="SJ1" i="2" s="1"/>
  <c r="SK1" i="2" s="1"/>
  <c r="SL1" i="2" s="1"/>
  <c r="SM1" i="2" s="1"/>
  <c r="SN1" i="2" s="1"/>
  <c r="SO1" i="2" s="1"/>
  <c r="SP1" i="2" s="1"/>
  <c r="SQ1" i="2" s="1"/>
  <c r="B1" i="2"/>
  <c r="GI2" i="3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B26" i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D25" i="1"/>
  <c r="C25" i="1" s="1"/>
  <c r="A25" i="1"/>
  <c r="A26" i="1" s="1"/>
  <c r="A27" i="1" s="1"/>
  <c r="B24" i="1"/>
  <c r="B25" i="1" s="1"/>
  <c r="A24" i="1"/>
  <c r="B22" i="1"/>
  <c r="B23" i="1" s="1"/>
  <c r="A22" i="1"/>
  <c r="A23" i="1" s="1"/>
  <c r="B21" i="1"/>
  <c r="A21" i="1"/>
  <c r="F20" i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D27" i="1" l="1"/>
  <c r="C27" i="1" s="1"/>
  <c r="A28" i="1"/>
  <c r="D20" i="1"/>
  <c r="C20" i="1" s="1"/>
  <c r="D22" i="1"/>
  <c r="C22" i="1" s="1"/>
  <c r="D24" i="1"/>
  <c r="C24" i="1" s="1"/>
  <c r="G25" i="1" s="1"/>
  <c r="D23" i="1"/>
  <c r="C23" i="1" s="1"/>
  <c r="D26" i="1"/>
  <c r="C26" i="1" s="1"/>
  <c r="G27" i="1" s="1"/>
  <c r="D21" i="1"/>
  <c r="C21" i="1" s="1"/>
  <c r="G24" i="1" l="1"/>
  <c r="G22" i="1"/>
  <c r="A29" i="1"/>
  <c r="D28" i="1"/>
  <c r="C28" i="1" s="1"/>
  <c r="G28" i="1" s="1"/>
  <c r="G23" i="1"/>
  <c r="G21" i="1"/>
  <c r="G26" i="1"/>
  <c r="A30" i="1" l="1"/>
  <c r="D29" i="1"/>
  <c r="C29" i="1" s="1"/>
  <c r="A31" i="1" l="1"/>
  <c r="D30" i="1"/>
  <c r="C30" i="1" s="1"/>
  <c r="G29" i="1"/>
  <c r="A32" i="1" l="1"/>
  <c r="D31" i="1"/>
  <c r="C31" i="1" s="1"/>
  <c r="G30" i="1"/>
  <c r="A33" i="1" l="1"/>
  <c r="D32" i="1"/>
  <c r="C32" i="1" s="1"/>
  <c r="G31" i="1"/>
  <c r="A34" i="1" l="1"/>
  <c r="D33" i="1"/>
  <c r="C33" i="1" s="1"/>
  <c r="G32" i="1"/>
  <c r="D34" i="1" l="1"/>
  <c r="C34" i="1" s="1"/>
  <c r="A35" i="1"/>
  <c r="G33" i="1"/>
  <c r="A36" i="1" l="1"/>
  <c r="D35" i="1"/>
  <c r="C35" i="1" s="1"/>
  <c r="G35" i="1" s="1"/>
  <c r="G34" i="1"/>
  <c r="A37" i="1" l="1"/>
  <c r="D36" i="1"/>
  <c r="C36" i="1" s="1"/>
  <c r="D37" i="1" l="1"/>
  <c r="C37" i="1" s="1"/>
  <c r="A38" i="1"/>
  <c r="G36" i="1"/>
  <c r="A39" i="1" l="1"/>
  <c r="D38" i="1"/>
  <c r="C38" i="1" s="1"/>
  <c r="G38" i="1" s="1"/>
  <c r="G37" i="1"/>
  <c r="D39" i="1" l="1"/>
  <c r="C39" i="1" s="1"/>
  <c r="A40" i="1"/>
  <c r="A41" i="1" l="1"/>
  <c r="D40" i="1"/>
  <c r="C40" i="1" s="1"/>
  <c r="G40" i="1" s="1"/>
  <c r="G39" i="1"/>
  <c r="D41" i="1" l="1"/>
  <c r="C41" i="1" s="1"/>
  <c r="A42" i="1"/>
  <c r="A43" i="1" l="1"/>
  <c r="D42" i="1"/>
  <c r="C42" i="1" s="1"/>
  <c r="G42" i="1" s="1"/>
  <c r="G41" i="1"/>
  <c r="A44" i="1" l="1"/>
  <c r="D43" i="1"/>
  <c r="C43" i="1" s="1"/>
  <c r="D44" i="1" l="1"/>
  <c r="C44" i="1" s="1"/>
  <c r="A45" i="1"/>
  <c r="G43" i="1"/>
  <c r="A46" i="1" l="1"/>
  <c r="D45" i="1"/>
  <c r="C45" i="1" s="1"/>
  <c r="G45" i="1" s="1"/>
  <c r="G44" i="1"/>
  <c r="A47" i="1" l="1"/>
  <c r="D46" i="1"/>
  <c r="C46" i="1" s="1"/>
  <c r="D47" i="1" l="1"/>
  <c r="C47" i="1" s="1"/>
  <c r="A48" i="1"/>
  <c r="G46" i="1"/>
  <c r="D48" i="1" l="1"/>
  <c r="C48" i="1" s="1"/>
  <c r="G48" i="1" s="1"/>
  <c r="A49" i="1"/>
  <c r="G47" i="1"/>
  <c r="A50" i="1" l="1"/>
  <c r="D49" i="1"/>
  <c r="C49" i="1" s="1"/>
  <c r="G49" i="1" s="1"/>
  <c r="A51" i="1" l="1"/>
  <c r="D50" i="1"/>
  <c r="C50" i="1" s="1"/>
  <c r="A52" i="1" l="1"/>
  <c r="D51" i="1"/>
  <c r="C51" i="1" s="1"/>
  <c r="G50" i="1"/>
  <c r="A53" i="1" l="1"/>
  <c r="D52" i="1"/>
  <c r="C52" i="1" s="1"/>
  <c r="G51" i="1"/>
  <c r="D53" i="1" l="1"/>
  <c r="C53" i="1" s="1"/>
  <c r="A54" i="1"/>
  <c r="G52" i="1"/>
  <c r="D54" i="1" l="1"/>
  <c r="C54" i="1" s="1"/>
  <c r="G54" i="1" s="1"/>
  <c r="A55" i="1"/>
  <c r="G53" i="1"/>
  <c r="A56" i="1" l="1"/>
  <c r="D55" i="1"/>
  <c r="C55" i="1" s="1"/>
  <c r="G55" i="1" s="1"/>
  <c r="D56" i="1" l="1"/>
  <c r="C56" i="1" s="1"/>
  <c r="A57" i="1"/>
  <c r="D57" i="1" l="1"/>
  <c r="C57" i="1" s="1"/>
  <c r="A58" i="1"/>
  <c r="G56" i="1"/>
  <c r="D58" i="1" l="1"/>
  <c r="C58" i="1" s="1"/>
  <c r="G58" i="1" s="1"/>
  <c r="A59" i="1"/>
  <c r="G57" i="1"/>
  <c r="A60" i="1" l="1"/>
  <c r="D59" i="1"/>
  <c r="C59" i="1" s="1"/>
  <c r="G59" i="1" s="1"/>
  <c r="D60" i="1" l="1"/>
  <c r="C60" i="1" s="1"/>
  <c r="A61" i="1"/>
  <c r="A62" i="1" l="1"/>
  <c r="D61" i="1"/>
  <c r="C61" i="1" s="1"/>
  <c r="G61" i="1" s="1"/>
  <c r="G60" i="1"/>
  <c r="A63" i="1" l="1"/>
  <c r="D62" i="1"/>
  <c r="C62" i="1" s="1"/>
  <c r="A64" i="1" l="1"/>
  <c r="D63" i="1"/>
  <c r="C63" i="1" s="1"/>
  <c r="G62" i="1"/>
  <c r="D64" i="1" l="1"/>
  <c r="C64" i="1" s="1"/>
  <c r="A65" i="1"/>
  <c r="G63" i="1"/>
  <c r="A66" i="1" l="1"/>
  <c r="D65" i="1"/>
  <c r="C65" i="1" s="1"/>
  <c r="G65" i="1"/>
  <c r="G64" i="1"/>
  <c r="A67" i="1" l="1"/>
  <c r="D66" i="1"/>
  <c r="C66" i="1" s="1"/>
  <c r="D67" i="1" l="1"/>
  <c r="C67" i="1" s="1"/>
  <c r="A68" i="1"/>
  <c r="G66" i="1"/>
  <c r="A69" i="1" l="1"/>
  <c r="D68" i="1"/>
  <c r="C68" i="1" s="1"/>
  <c r="G68" i="1" s="1"/>
  <c r="G67" i="1"/>
  <c r="D69" i="1" l="1"/>
  <c r="C69" i="1" s="1"/>
  <c r="A70" i="1"/>
  <c r="A71" i="1" l="1"/>
  <c r="D70" i="1"/>
  <c r="C70" i="1" s="1"/>
  <c r="G70" i="1" s="1"/>
  <c r="G69" i="1"/>
  <c r="D71" i="1" l="1"/>
  <c r="C71" i="1" s="1"/>
  <c r="A72" i="1"/>
  <c r="A73" i="1" l="1"/>
  <c r="D72" i="1"/>
  <c r="C72" i="1" s="1"/>
  <c r="G72" i="1" s="1"/>
  <c r="G71" i="1"/>
  <c r="D73" i="1" l="1"/>
  <c r="C73" i="1" s="1"/>
  <c r="A74" i="1"/>
  <c r="D74" i="1" l="1"/>
  <c r="C74" i="1" s="1"/>
  <c r="G74" i="1" s="1"/>
  <c r="A75" i="1"/>
  <c r="G73" i="1"/>
  <c r="A76" i="1" l="1"/>
  <c r="D75" i="1"/>
  <c r="C75" i="1" s="1"/>
  <c r="G75" i="1" s="1"/>
  <c r="D76" i="1" l="1"/>
  <c r="C76" i="1" s="1"/>
  <c r="A77" i="1"/>
  <c r="D77" i="1" l="1"/>
  <c r="C77" i="1" s="1"/>
  <c r="A78" i="1"/>
  <c r="G77" i="1"/>
  <c r="G76" i="1"/>
  <c r="A79" i="1" l="1"/>
  <c r="D78" i="1"/>
  <c r="C78" i="1" s="1"/>
  <c r="G78" i="1" l="1"/>
  <c r="A80" i="1"/>
  <c r="D79" i="1"/>
  <c r="C79" i="1" s="1"/>
  <c r="A81" i="1" l="1"/>
  <c r="D80" i="1"/>
  <c r="C80" i="1" s="1"/>
  <c r="G79" i="1"/>
  <c r="A82" i="1" l="1"/>
  <c r="D81" i="1"/>
  <c r="C81" i="1" s="1"/>
  <c r="G80" i="1"/>
  <c r="E82" i="1" l="1"/>
  <c r="A83" i="1"/>
  <c r="D82" i="1"/>
  <c r="C82" i="1" s="1"/>
  <c r="G81" i="1"/>
  <c r="E22" i="1" l="1"/>
  <c r="E20" i="1"/>
  <c r="E23" i="1"/>
  <c r="E25" i="1"/>
  <c r="E24" i="1"/>
  <c r="E21" i="1"/>
  <c r="E27" i="1"/>
  <c r="E26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A84" i="1"/>
  <c r="D83" i="1"/>
  <c r="C83" i="1" s="1"/>
  <c r="E83" i="1"/>
  <c r="G82" i="1"/>
  <c r="E84" i="1" l="1"/>
  <c r="D84" i="1"/>
  <c r="C84" i="1" s="1"/>
  <c r="A85" i="1"/>
  <c r="G83" i="1"/>
  <c r="A86" i="1" l="1"/>
  <c r="D85" i="1"/>
  <c r="C85" i="1" s="1"/>
  <c r="E85" i="1"/>
  <c r="G85" i="1"/>
  <c r="G84" i="1"/>
  <c r="A87" i="1" l="1"/>
  <c r="E86" i="1"/>
  <c r="D86" i="1"/>
  <c r="C86" i="1" s="1"/>
  <c r="D87" i="1" l="1"/>
  <c r="C87" i="1" s="1"/>
  <c r="A88" i="1"/>
  <c r="E87" i="1"/>
  <c r="G86" i="1"/>
  <c r="E88" i="1" l="1"/>
  <c r="A89" i="1"/>
  <c r="D88" i="1"/>
  <c r="C88" i="1" s="1"/>
  <c r="G88" i="1" s="1"/>
  <c r="G87" i="1"/>
  <c r="D89" i="1" l="1"/>
  <c r="C89" i="1" s="1"/>
  <c r="E89" i="1"/>
  <c r="A90" i="1"/>
  <c r="E90" i="1" l="1"/>
  <c r="D90" i="1"/>
  <c r="C90" i="1" s="1"/>
  <c r="A91" i="1"/>
  <c r="G90" i="1"/>
  <c r="G89" i="1"/>
  <c r="E91" i="1" l="1"/>
  <c r="D91" i="1"/>
  <c r="C91" i="1" s="1"/>
  <c r="A92" i="1"/>
  <c r="G91" i="1" l="1"/>
  <c r="A93" i="1"/>
  <c r="E92" i="1"/>
  <c r="D92" i="1"/>
  <c r="C92" i="1" s="1"/>
  <c r="A94" i="1" l="1"/>
  <c r="D93" i="1"/>
  <c r="C93" i="1" s="1"/>
  <c r="E93" i="1"/>
  <c r="G92" i="1"/>
  <c r="E94" i="1" l="1"/>
  <c r="D94" i="1"/>
  <c r="C94" i="1" s="1"/>
  <c r="A95" i="1"/>
  <c r="G93" i="1"/>
  <c r="D95" i="1" l="1"/>
  <c r="C95" i="1" s="1"/>
  <c r="G95" i="1" s="1"/>
  <c r="A96" i="1"/>
  <c r="E95" i="1"/>
  <c r="G94" i="1"/>
  <c r="D96" i="1" l="1"/>
  <c r="C96" i="1" s="1"/>
  <c r="G96" i="1" s="1"/>
  <c r="A97" i="1"/>
  <c r="E96" i="1"/>
  <c r="E97" i="1" l="1"/>
  <c r="A98" i="1"/>
  <c r="D97" i="1"/>
  <c r="C97" i="1" s="1"/>
  <c r="G97" i="1" s="1"/>
  <c r="D98" i="1" l="1"/>
  <c r="C98" i="1" s="1"/>
  <c r="A99" i="1"/>
  <c r="E98" i="1"/>
  <c r="A100" i="1" l="1"/>
  <c r="E99" i="1"/>
  <c r="D99" i="1"/>
  <c r="C99" i="1" s="1"/>
  <c r="G99" i="1" s="1"/>
  <c r="G98" i="1"/>
  <c r="E100" i="1" l="1"/>
  <c r="A101" i="1"/>
  <c r="D100" i="1"/>
  <c r="C100" i="1" s="1"/>
  <c r="A102" i="1" l="1"/>
  <c r="E101" i="1"/>
  <c r="D101" i="1"/>
  <c r="C101" i="1" s="1"/>
  <c r="G100" i="1"/>
  <c r="E102" i="1" l="1"/>
  <c r="D102" i="1"/>
  <c r="C102" i="1" s="1"/>
  <c r="A103" i="1"/>
  <c r="G101" i="1"/>
  <c r="A104" i="1" l="1"/>
  <c r="E103" i="1"/>
  <c r="D103" i="1"/>
  <c r="C103" i="1" s="1"/>
  <c r="G103" i="1" s="1"/>
  <c r="G102" i="1"/>
  <c r="D104" i="1" l="1"/>
  <c r="C104" i="1" s="1"/>
  <c r="A105" i="1"/>
  <c r="E104" i="1"/>
  <c r="D105" i="1" l="1"/>
  <c r="C105" i="1" s="1"/>
  <c r="E105" i="1"/>
  <c r="A106" i="1"/>
  <c r="G105" i="1"/>
  <c r="G104" i="1"/>
  <c r="E106" i="1" l="1"/>
  <c r="A107" i="1"/>
  <c r="D106" i="1"/>
  <c r="C106" i="1" s="1"/>
  <c r="G106" i="1" s="1"/>
  <c r="A108" i="1" l="1"/>
  <c r="E107" i="1"/>
  <c r="D107" i="1"/>
  <c r="C107" i="1" s="1"/>
  <c r="E108" i="1" l="1"/>
  <c r="A109" i="1"/>
  <c r="D108" i="1"/>
  <c r="C108" i="1" s="1"/>
  <c r="G107" i="1"/>
  <c r="A110" i="1" l="1"/>
  <c r="E109" i="1"/>
  <c r="D109" i="1"/>
  <c r="C109" i="1" s="1"/>
  <c r="G108" i="1"/>
  <c r="D110" i="1" l="1"/>
  <c r="C110" i="1" s="1"/>
  <c r="A111" i="1"/>
  <c r="E110" i="1"/>
  <c r="G109" i="1"/>
  <c r="A112" i="1" l="1"/>
  <c r="E111" i="1"/>
  <c r="D111" i="1"/>
  <c r="C111" i="1" s="1"/>
  <c r="G111" i="1" s="1"/>
  <c r="G110" i="1"/>
  <c r="E112" i="1" l="1"/>
  <c r="A113" i="1"/>
  <c r="D112" i="1"/>
  <c r="C112" i="1" s="1"/>
  <c r="A114" i="1" l="1"/>
  <c r="E113" i="1"/>
  <c r="D113" i="1"/>
  <c r="C113" i="1" s="1"/>
  <c r="G112" i="1"/>
  <c r="A115" i="1" l="1"/>
  <c r="E114" i="1"/>
  <c r="D114" i="1"/>
  <c r="C114" i="1" s="1"/>
  <c r="G113" i="1"/>
  <c r="D115" i="1" l="1"/>
  <c r="C115" i="1" s="1"/>
  <c r="A116" i="1"/>
  <c r="E115" i="1"/>
  <c r="G114" i="1"/>
  <c r="E116" i="1" l="1"/>
  <c r="D116" i="1"/>
  <c r="C116" i="1" s="1"/>
  <c r="G116" i="1" s="1"/>
  <c r="A117" i="1"/>
  <c r="G115" i="1"/>
  <c r="A118" i="1" l="1"/>
  <c r="E117" i="1"/>
  <c r="D117" i="1"/>
  <c r="C117" i="1" s="1"/>
  <c r="G117" i="1" s="1"/>
  <c r="E118" i="1" l="1"/>
  <c r="D118" i="1"/>
  <c r="C118" i="1" s="1"/>
  <c r="A119" i="1"/>
  <c r="E119" i="1" l="1"/>
  <c r="A120" i="1"/>
  <c r="D119" i="1"/>
  <c r="C119" i="1" s="1"/>
  <c r="G119" i="1"/>
  <c r="G118" i="1"/>
  <c r="A121" i="1" l="1"/>
  <c r="E120" i="1"/>
  <c r="D120" i="1"/>
  <c r="C120" i="1" s="1"/>
  <c r="A122" i="1" l="1"/>
  <c r="E121" i="1"/>
  <c r="D121" i="1"/>
  <c r="C121" i="1" s="1"/>
  <c r="G120" i="1"/>
  <c r="E122" i="1" l="1"/>
  <c r="D122" i="1"/>
  <c r="C122" i="1" s="1"/>
  <c r="A123" i="1"/>
  <c r="G121" i="1"/>
  <c r="A124" i="1" l="1"/>
  <c r="E123" i="1"/>
  <c r="D123" i="1"/>
  <c r="C123" i="1" s="1"/>
  <c r="G123" i="1" s="1"/>
  <c r="G122" i="1"/>
  <c r="A125" i="1" l="1"/>
  <c r="E124" i="1"/>
  <c r="D124" i="1"/>
  <c r="C124" i="1" s="1"/>
  <c r="D125" i="1" l="1"/>
  <c r="C125" i="1" s="1"/>
  <c r="E125" i="1"/>
  <c r="A126" i="1"/>
  <c r="G124" i="1"/>
  <c r="E126" i="1" l="1"/>
  <c r="A127" i="1"/>
  <c r="D126" i="1"/>
  <c r="C126" i="1" s="1"/>
  <c r="G126" i="1" s="1"/>
  <c r="G125" i="1"/>
  <c r="D127" i="1" l="1"/>
  <c r="C127" i="1" s="1"/>
  <c r="E127" i="1"/>
  <c r="A128" i="1"/>
  <c r="A129" i="1" l="1"/>
  <c r="D128" i="1"/>
  <c r="C128" i="1" s="1"/>
  <c r="G128" i="1" s="1"/>
  <c r="E128" i="1"/>
  <c r="G127" i="1"/>
  <c r="E129" i="1" l="1"/>
  <c r="A130" i="1"/>
  <c r="D129" i="1"/>
  <c r="C129" i="1" s="1"/>
  <c r="A131" i="1" l="1"/>
  <c r="E130" i="1"/>
  <c r="D130" i="1"/>
  <c r="C130" i="1" s="1"/>
  <c r="G129" i="1"/>
  <c r="A132" i="1" l="1"/>
  <c r="E131" i="1"/>
  <c r="D131" i="1"/>
  <c r="C131" i="1" s="1"/>
  <c r="G130" i="1"/>
  <c r="E132" i="1" l="1"/>
  <c r="D132" i="1"/>
  <c r="C132" i="1" s="1"/>
  <c r="A133" i="1"/>
  <c r="G131" i="1"/>
  <c r="A134" i="1" l="1"/>
  <c r="D133" i="1"/>
  <c r="C133" i="1" s="1"/>
  <c r="G133" i="1" s="1"/>
  <c r="E133" i="1"/>
  <c r="G132" i="1"/>
  <c r="E134" i="1" l="1"/>
  <c r="D134" i="1"/>
  <c r="C134" i="1" s="1"/>
  <c r="A135" i="1"/>
  <c r="D135" i="1" l="1"/>
  <c r="C135" i="1" s="1"/>
  <c r="A136" i="1"/>
  <c r="E135" i="1"/>
  <c r="G135" i="1"/>
  <c r="G134" i="1"/>
  <c r="E136" i="1" l="1"/>
  <c r="D136" i="1"/>
  <c r="C136" i="1" s="1"/>
  <c r="A137" i="1"/>
  <c r="G136" i="1"/>
  <c r="A138" i="1" l="1"/>
  <c r="E137" i="1"/>
  <c r="D137" i="1"/>
  <c r="C137" i="1" s="1"/>
  <c r="G137" i="1" s="1"/>
  <c r="E138" i="1" l="1"/>
  <c r="D138" i="1"/>
  <c r="C138" i="1" s="1"/>
  <c r="A139" i="1"/>
  <c r="E139" i="1" l="1"/>
  <c r="A140" i="1"/>
  <c r="D139" i="1"/>
  <c r="C139" i="1" s="1"/>
  <c r="G139" i="1" s="1"/>
  <c r="G138" i="1"/>
  <c r="A141" i="1" l="1"/>
  <c r="E140" i="1"/>
  <c r="D140" i="1"/>
  <c r="C140" i="1" s="1"/>
  <c r="E141" i="1" l="1"/>
  <c r="D141" i="1"/>
  <c r="C141" i="1" s="1"/>
  <c r="A142" i="1"/>
  <c r="G140" i="1"/>
  <c r="E142" i="1" l="1"/>
  <c r="D142" i="1"/>
  <c r="C142" i="1" s="1"/>
  <c r="A143" i="1"/>
  <c r="G141" i="1"/>
  <c r="G142" i="1" l="1"/>
  <c r="A144" i="1"/>
  <c r="D143" i="1"/>
  <c r="C143" i="1" s="1"/>
  <c r="E143" i="1"/>
  <c r="A145" i="1" l="1"/>
  <c r="E144" i="1"/>
  <c r="D144" i="1"/>
  <c r="C144" i="1" s="1"/>
  <c r="G143" i="1"/>
  <c r="D145" i="1" l="1"/>
  <c r="C145" i="1" s="1"/>
  <c r="E145" i="1"/>
  <c r="A146" i="1"/>
  <c r="G144" i="1"/>
  <c r="E146" i="1" l="1"/>
  <c r="A147" i="1"/>
  <c r="D146" i="1"/>
  <c r="C146" i="1" s="1"/>
  <c r="G146" i="1" s="1"/>
  <c r="G145" i="1"/>
  <c r="A148" i="1" l="1"/>
  <c r="E147" i="1"/>
  <c r="D147" i="1"/>
  <c r="C147" i="1" s="1"/>
  <c r="E148" i="1" l="1"/>
  <c r="D148" i="1"/>
  <c r="C148" i="1" s="1"/>
  <c r="A149" i="1"/>
  <c r="G147" i="1"/>
  <c r="E149" i="1" l="1"/>
  <c r="D149" i="1"/>
  <c r="C149" i="1" s="1"/>
  <c r="A150" i="1"/>
  <c r="G148" i="1"/>
  <c r="A151" i="1" l="1"/>
  <c r="E150" i="1"/>
  <c r="D150" i="1"/>
  <c r="C150" i="1" s="1"/>
  <c r="G150" i="1" s="1"/>
  <c r="G149" i="1"/>
  <c r="E151" i="1" l="1"/>
  <c r="A152" i="1"/>
  <c r="D151" i="1"/>
  <c r="C151" i="1" s="1"/>
  <c r="E152" i="1" l="1"/>
  <c r="D152" i="1"/>
  <c r="C152" i="1" s="1"/>
  <c r="A153" i="1"/>
  <c r="G151" i="1"/>
  <c r="A154" i="1" l="1"/>
  <c r="E153" i="1"/>
  <c r="D153" i="1"/>
  <c r="C153" i="1" s="1"/>
  <c r="G153" i="1" s="1"/>
  <c r="G152" i="1"/>
  <c r="A155" i="1" l="1"/>
  <c r="D154" i="1"/>
  <c r="C154" i="1" s="1"/>
  <c r="E154" i="1"/>
  <c r="D155" i="1" l="1"/>
  <c r="C155" i="1" s="1"/>
  <c r="A156" i="1"/>
  <c r="E155" i="1"/>
  <c r="G154" i="1"/>
  <c r="E156" i="1" l="1"/>
  <c r="A157" i="1"/>
  <c r="D156" i="1"/>
  <c r="C156" i="1" s="1"/>
  <c r="G155" i="1"/>
  <c r="A158" i="1" l="1"/>
  <c r="E157" i="1"/>
  <c r="D157" i="1"/>
  <c r="C157" i="1" s="1"/>
  <c r="G156" i="1"/>
  <c r="E158" i="1" l="1"/>
  <c r="D158" i="1"/>
  <c r="C158" i="1" s="1"/>
  <c r="A159" i="1"/>
  <c r="G157" i="1"/>
  <c r="E159" i="1" l="1"/>
  <c r="D159" i="1"/>
  <c r="C159" i="1" s="1"/>
  <c r="G159" i="1" s="1"/>
  <c r="A160" i="1"/>
  <c r="G158" i="1"/>
  <c r="A161" i="1" l="1"/>
  <c r="E160" i="1"/>
  <c r="D160" i="1"/>
  <c r="C160" i="1" s="1"/>
  <c r="G160" i="1" s="1"/>
  <c r="D161" i="1" l="1"/>
  <c r="C161" i="1" s="1"/>
  <c r="A162" i="1"/>
  <c r="E161" i="1"/>
  <c r="E162" i="1" l="1"/>
  <c r="D162" i="1"/>
  <c r="C162" i="1" s="1"/>
  <c r="G162" i="1" s="1"/>
  <c r="A163" i="1"/>
  <c r="G161" i="1"/>
  <c r="A164" i="1" l="1"/>
  <c r="E163" i="1"/>
  <c r="D163" i="1"/>
  <c r="C163" i="1" s="1"/>
  <c r="G163" i="1" s="1"/>
  <c r="A165" i="1" l="1"/>
  <c r="E164" i="1"/>
  <c r="D164" i="1"/>
  <c r="C164" i="1" s="1"/>
  <c r="D165" i="1" l="1"/>
  <c r="C165" i="1" s="1"/>
  <c r="A166" i="1"/>
  <c r="E165" i="1"/>
  <c r="G164" i="1"/>
  <c r="E166" i="1" l="1"/>
  <c r="D166" i="1"/>
  <c r="C166" i="1" s="1"/>
  <c r="A167" i="1"/>
  <c r="G165" i="1"/>
  <c r="G166" i="1" l="1"/>
  <c r="A168" i="1"/>
  <c r="E167" i="1"/>
  <c r="D167" i="1"/>
  <c r="C167" i="1" s="1"/>
  <c r="E168" i="1" l="1"/>
  <c r="D168" i="1"/>
  <c r="C168" i="1" s="1"/>
  <c r="A169" i="1"/>
  <c r="G167" i="1"/>
  <c r="E169" i="1" l="1"/>
  <c r="D169" i="1"/>
  <c r="C169" i="1" s="1"/>
  <c r="G169" i="1" s="1"/>
  <c r="A170" i="1"/>
  <c r="G168" i="1"/>
  <c r="A171" i="1" l="1"/>
  <c r="E170" i="1"/>
  <c r="D170" i="1"/>
  <c r="C170" i="1" s="1"/>
  <c r="G170" i="1" s="1"/>
  <c r="A172" i="1" l="1"/>
  <c r="E171" i="1"/>
  <c r="D171" i="1"/>
  <c r="C171" i="1" s="1"/>
  <c r="E172" i="1" l="1"/>
  <c r="D172" i="1"/>
  <c r="C172" i="1" s="1"/>
  <c r="A173" i="1"/>
  <c r="G171" i="1"/>
  <c r="A174" i="1" l="1"/>
  <c r="E173" i="1"/>
  <c r="D173" i="1"/>
  <c r="C173" i="1" s="1"/>
  <c r="G173" i="1" s="1"/>
  <c r="G172" i="1"/>
  <c r="E174" i="1" l="1"/>
  <c r="D174" i="1"/>
  <c r="C174" i="1" s="1"/>
  <c r="A175" i="1"/>
  <c r="D175" i="1" l="1"/>
  <c r="C175" i="1" s="1"/>
  <c r="G175" i="1" s="1"/>
  <c r="A176" i="1"/>
  <c r="E175" i="1"/>
  <c r="G174" i="1"/>
  <c r="E176" i="1" l="1"/>
  <c r="A177" i="1"/>
  <c r="D176" i="1"/>
  <c r="C176" i="1" s="1"/>
  <c r="G176" i="1" s="1"/>
  <c r="A178" i="1" l="1"/>
  <c r="D177" i="1"/>
  <c r="C177" i="1" s="1"/>
  <c r="E177" i="1"/>
  <c r="D178" i="1" l="1"/>
  <c r="C178" i="1" s="1"/>
  <c r="A179" i="1"/>
  <c r="E178" i="1"/>
  <c r="G177" i="1"/>
  <c r="E179" i="1" l="1"/>
  <c r="D179" i="1"/>
  <c r="C179" i="1" s="1"/>
  <c r="A180" i="1"/>
  <c r="G179" i="1"/>
  <c r="G178" i="1"/>
  <c r="A181" i="1" l="1"/>
  <c r="E180" i="1"/>
  <c r="D180" i="1"/>
  <c r="C180" i="1" s="1"/>
  <c r="G180" i="1"/>
  <c r="A182" i="1" l="1"/>
  <c r="E181" i="1"/>
  <c r="D181" i="1"/>
  <c r="C181" i="1" s="1"/>
  <c r="E182" i="1" l="1"/>
  <c r="D182" i="1"/>
  <c r="C182" i="1" s="1"/>
  <c r="A183" i="1"/>
  <c r="G181" i="1"/>
  <c r="A184" i="1" l="1"/>
  <c r="E183" i="1"/>
  <c r="D183" i="1"/>
  <c r="C183" i="1" s="1"/>
  <c r="G182" i="1"/>
  <c r="D184" i="1" l="1"/>
  <c r="C184" i="1" s="1"/>
  <c r="A185" i="1"/>
  <c r="E184" i="1"/>
  <c r="G183" i="1"/>
  <c r="D185" i="1" l="1"/>
  <c r="C185" i="1" s="1"/>
  <c r="G185" i="1" s="1"/>
  <c r="A186" i="1"/>
  <c r="E185" i="1"/>
  <c r="G184" i="1"/>
  <c r="E186" i="1" l="1"/>
  <c r="A187" i="1"/>
  <c r="D186" i="1"/>
  <c r="C186" i="1" s="1"/>
  <c r="G186" i="1" s="1"/>
  <c r="A188" i="1" l="1"/>
  <c r="D187" i="1"/>
  <c r="C187" i="1" s="1"/>
  <c r="E187" i="1"/>
  <c r="E188" i="1" l="1"/>
  <c r="D188" i="1"/>
  <c r="C188" i="1" s="1"/>
  <c r="A189" i="1"/>
  <c r="G187" i="1"/>
  <c r="E189" i="1" l="1"/>
  <c r="D189" i="1"/>
  <c r="C189" i="1" s="1"/>
  <c r="G189" i="1" s="1"/>
  <c r="A190" i="1"/>
  <c r="G188" i="1"/>
  <c r="A191" i="1" l="1"/>
  <c r="D190" i="1"/>
  <c r="C190" i="1" s="1"/>
  <c r="G190" i="1" s="1"/>
  <c r="E190" i="1"/>
  <c r="A192" i="1" l="1"/>
  <c r="D191" i="1"/>
  <c r="C191" i="1" s="1"/>
  <c r="E191" i="1"/>
  <c r="E192" i="1" l="1"/>
  <c r="D192" i="1"/>
  <c r="C192" i="1" s="1"/>
  <c r="A193" i="1"/>
  <c r="G191" i="1"/>
  <c r="A194" i="1" l="1"/>
  <c r="E193" i="1"/>
  <c r="D193" i="1"/>
  <c r="C193" i="1" s="1"/>
  <c r="G193" i="1" s="1"/>
  <c r="G192" i="1"/>
  <c r="E194" i="1" l="1"/>
  <c r="D194" i="1"/>
  <c r="C194" i="1" s="1"/>
  <c r="A195" i="1"/>
  <c r="D195" i="1" l="1"/>
  <c r="C195" i="1" s="1"/>
  <c r="E195" i="1"/>
  <c r="A196" i="1"/>
  <c r="G194" i="1"/>
  <c r="A197" i="1" l="1"/>
  <c r="E196" i="1"/>
  <c r="D196" i="1"/>
  <c r="C196" i="1" s="1"/>
  <c r="G196" i="1" s="1"/>
  <c r="G195" i="1"/>
  <c r="E197" i="1" l="1"/>
  <c r="D197" i="1"/>
  <c r="C197" i="1" s="1"/>
  <c r="A198" i="1"/>
  <c r="E198" i="1" l="1"/>
  <c r="D198" i="1"/>
  <c r="C198" i="1" s="1"/>
  <c r="A199" i="1"/>
  <c r="G197" i="1"/>
  <c r="G198" i="1" l="1"/>
  <c r="A200" i="1"/>
  <c r="E199" i="1"/>
  <c r="D199" i="1"/>
  <c r="C199" i="1" s="1"/>
  <c r="A201" i="1" l="1"/>
  <c r="E200" i="1"/>
  <c r="D200" i="1"/>
  <c r="C200" i="1" s="1"/>
  <c r="G199" i="1"/>
  <c r="E201" i="1" l="1"/>
  <c r="D201" i="1"/>
  <c r="C201" i="1" s="1"/>
  <c r="A202" i="1"/>
  <c r="G200" i="1"/>
  <c r="E202" i="1" l="1"/>
  <c r="A203" i="1"/>
  <c r="D202" i="1"/>
  <c r="C202" i="1" s="1"/>
  <c r="G202" i="1" s="1"/>
  <c r="G201" i="1"/>
  <c r="A204" i="1" l="1"/>
  <c r="E203" i="1"/>
  <c r="D203" i="1"/>
  <c r="C203" i="1" s="1"/>
  <c r="E204" i="1" l="1"/>
  <c r="A205" i="1"/>
  <c r="D204" i="1"/>
  <c r="C204" i="1" s="1"/>
  <c r="G203" i="1"/>
  <c r="D205" i="1" l="1"/>
  <c r="C205" i="1" s="1"/>
  <c r="E205" i="1"/>
  <c r="A206" i="1"/>
  <c r="G204" i="1"/>
  <c r="D206" i="1" l="1"/>
  <c r="C206" i="1" s="1"/>
  <c r="G206" i="1" s="1"/>
  <c r="A207" i="1"/>
  <c r="E206" i="1"/>
  <c r="G205" i="1"/>
  <c r="A208" i="1" l="1"/>
  <c r="E207" i="1"/>
  <c r="D207" i="1"/>
  <c r="C207" i="1" s="1"/>
  <c r="G207" i="1" s="1"/>
  <c r="D208" i="1" l="1"/>
  <c r="C208" i="1" s="1"/>
  <c r="A209" i="1"/>
  <c r="E208" i="1"/>
  <c r="E209" i="1" l="1"/>
  <c r="D209" i="1"/>
  <c r="C209" i="1" s="1"/>
  <c r="A210" i="1"/>
  <c r="G209" i="1"/>
  <c r="G208" i="1"/>
  <c r="A211" i="1" l="1"/>
  <c r="D210" i="1"/>
  <c r="C210" i="1" s="1"/>
  <c r="G210" i="1" s="1"/>
  <c r="E210" i="1"/>
  <c r="A212" i="1" l="1"/>
  <c r="E211" i="1"/>
  <c r="D211" i="1"/>
  <c r="C211" i="1" s="1"/>
  <c r="E212" i="1" l="1"/>
  <c r="D212" i="1"/>
  <c r="C212" i="1" s="1"/>
  <c r="A213" i="1"/>
  <c r="G211" i="1"/>
  <c r="A214" i="1" l="1"/>
  <c r="E213" i="1"/>
  <c r="D213" i="1"/>
  <c r="C213" i="1" s="1"/>
  <c r="G213" i="1" s="1"/>
  <c r="G212" i="1"/>
  <c r="D214" i="1" l="1"/>
  <c r="C214" i="1" s="1"/>
  <c r="A215" i="1"/>
  <c r="E214" i="1"/>
  <c r="D215" i="1" l="1"/>
  <c r="C215" i="1" s="1"/>
  <c r="G215" i="1" s="1"/>
  <c r="A216" i="1"/>
  <c r="E215" i="1"/>
  <c r="G214" i="1"/>
  <c r="A217" i="1" l="1"/>
  <c r="E216" i="1"/>
  <c r="D216" i="1"/>
  <c r="C216" i="1" s="1"/>
  <c r="G216" i="1" s="1"/>
  <c r="E217" i="1" l="1"/>
  <c r="D217" i="1"/>
  <c r="C217" i="1" s="1"/>
  <c r="A218" i="1"/>
  <c r="A219" i="1" l="1"/>
  <c r="E218" i="1"/>
  <c r="D218" i="1"/>
  <c r="C218" i="1" s="1"/>
  <c r="G217" i="1"/>
  <c r="G218" i="1" l="1"/>
  <c r="E219" i="1"/>
  <c r="D219" i="1"/>
  <c r="C219" i="1" s="1"/>
  <c r="A220" i="1"/>
  <c r="G219" i="1" l="1"/>
  <c r="E220" i="1"/>
  <c r="D220" i="1"/>
  <c r="C220" i="1" s="1"/>
  <c r="A221" i="1"/>
  <c r="G220" i="1" l="1"/>
  <c r="A222" i="1"/>
  <c r="E221" i="1"/>
  <c r="D221" i="1"/>
  <c r="C221" i="1" s="1"/>
  <c r="E222" i="1" l="1"/>
  <c r="D222" i="1"/>
  <c r="C222" i="1" s="1"/>
  <c r="A223" i="1"/>
  <c r="G221" i="1"/>
  <c r="A224" i="1" l="1"/>
  <c r="E223" i="1"/>
  <c r="D223" i="1"/>
  <c r="C223" i="1" s="1"/>
  <c r="G222" i="1"/>
  <c r="A225" i="1" l="1"/>
  <c r="E224" i="1"/>
  <c r="D224" i="1"/>
  <c r="C224" i="1" s="1"/>
  <c r="G223" i="1"/>
  <c r="D225" i="1" l="1"/>
  <c r="C225" i="1" s="1"/>
  <c r="E225" i="1"/>
  <c r="A226" i="1"/>
  <c r="G224" i="1"/>
  <c r="A227" i="1" l="1"/>
  <c r="E226" i="1"/>
  <c r="D226" i="1"/>
  <c r="C226" i="1" s="1"/>
  <c r="G225" i="1"/>
  <c r="G226" i="1" l="1"/>
  <c r="A228" i="1"/>
  <c r="D227" i="1"/>
  <c r="C227" i="1" s="1"/>
  <c r="E227" i="1"/>
  <c r="E228" i="1" l="1"/>
  <c r="D228" i="1"/>
  <c r="C228" i="1" s="1"/>
  <c r="A229" i="1"/>
  <c r="G227" i="1"/>
  <c r="A230" i="1" l="1"/>
  <c r="D229" i="1"/>
  <c r="C229" i="1" s="1"/>
  <c r="E229" i="1"/>
  <c r="G229" i="1"/>
  <c r="G228" i="1"/>
  <c r="E230" i="1" l="1"/>
  <c r="D230" i="1"/>
  <c r="C230" i="1" s="1"/>
  <c r="A231" i="1"/>
  <c r="E231" i="1" l="1"/>
  <c r="A232" i="1"/>
  <c r="D231" i="1"/>
  <c r="C231" i="1" s="1"/>
  <c r="G231" i="1" s="1"/>
  <c r="G230" i="1"/>
  <c r="E232" i="1" l="1"/>
  <c r="A233" i="1"/>
  <c r="D232" i="1"/>
  <c r="C232" i="1" s="1"/>
  <c r="G232" i="1" s="1"/>
  <c r="A234" i="1" l="1"/>
  <c r="E233" i="1"/>
  <c r="D233" i="1"/>
  <c r="C233" i="1" s="1"/>
  <c r="A235" i="1" l="1"/>
  <c r="E234" i="1"/>
  <c r="D234" i="1"/>
  <c r="C234" i="1" s="1"/>
  <c r="G234" i="1" s="1"/>
  <c r="G233" i="1"/>
  <c r="E235" i="1" l="1"/>
  <c r="D235" i="1"/>
  <c r="C235" i="1" s="1"/>
  <c r="A236" i="1"/>
  <c r="A237" i="1" l="1"/>
  <c r="D236" i="1"/>
  <c r="C236" i="1" s="1"/>
  <c r="E236" i="1"/>
  <c r="G235" i="1"/>
  <c r="G236" i="1" l="1"/>
  <c r="E237" i="1"/>
  <c r="D237" i="1"/>
  <c r="C237" i="1" s="1"/>
  <c r="A238" i="1"/>
  <c r="D238" i="1" l="1"/>
  <c r="C238" i="1" s="1"/>
  <c r="A239" i="1"/>
  <c r="E238" i="1"/>
  <c r="G237" i="1"/>
  <c r="E239" i="1" l="1"/>
  <c r="A240" i="1"/>
  <c r="D239" i="1"/>
  <c r="C239" i="1" s="1"/>
  <c r="G238" i="1"/>
  <c r="A241" i="1" l="1"/>
  <c r="D240" i="1"/>
  <c r="C240" i="1" s="1"/>
  <c r="E240" i="1"/>
  <c r="G239" i="1"/>
  <c r="E241" i="1" l="1"/>
  <c r="A242" i="1"/>
  <c r="D241" i="1"/>
  <c r="C241" i="1" s="1"/>
  <c r="G240" i="1"/>
  <c r="E242" i="1" l="1"/>
  <c r="D242" i="1"/>
  <c r="C242" i="1" s="1"/>
  <c r="A243" i="1"/>
  <c r="G241" i="1"/>
  <c r="A244" i="1" l="1"/>
  <c r="E243" i="1"/>
  <c r="D243" i="1"/>
  <c r="C243" i="1" s="1"/>
  <c r="G242" i="1"/>
  <c r="E244" i="1" l="1"/>
  <c r="D244" i="1"/>
  <c r="C244" i="1" s="1"/>
  <c r="A245" i="1"/>
  <c r="G243" i="1"/>
  <c r="E245" i="1" l="1"/>
  <c r="D245" i="1"/>
  <c r="C245" i="1" s="1"/>
  <c r="G245" i="1" s="1"/>
  <c r="A246" i="1"/>
  <c r="G244" i="1"/>
  <c r="A247" i="1" l="1"/>
  <c r="E246" i="1"/>
  <c r="D246" i="1"/>
  <c r="C246" i="1" s="1"/>
  <c r="G246" i="1" s="1"/>
  <c r="E247" i="1" l="1"/>
  <c r="A248" i="1"/>
  <c r="D247" i="1"/>
  <c r="C247" i="1" s="1"/>
  <c r="D248" i="1" l="1"/>
  <c r="C248" i="1" s="1"/>
  <c r="A249" i="1"/>
  <c r="E248" i="1"/>
  <c r="G247" i="1"/>
  <c r="E249" i="1" l="1"/>
  <c r="A250" i="1"/>
  <c r="D249" i="1"/>
  <c r="C249" i="1" s="1"/>
  <c r="G248" i="1"/>
  <c r="G249" i="1" l="1"/>
  <c r="A251" i="1"/>
  <c r="E250" i="1"/>
  <c r="D250" i="1"/>
  <c r="C250" i="1" s="1"/>
  <c r="G250" i="1" s="1"/>
  <c r="A252" i="1" l="1"/>
  <c r="E251" i="1"/>
  <c r="D251" i="1"/>
  <c r="C251" i="1" s="1"/>
  <c r="E252" i="1" l="1"/>
  <c r="D252" i="1"/>
  <c r="C252" i="1" s="1"/>
  <c r="A253" i="1"/>
  <c r="G251" i="1"/>
  <c r="A254" i="1" l="1"/>
  <c r="E253" i="1"/>
  <c r="D253" i="1"/>
  <c r="C253" i="1" s="1"/>
  <c r="G253" i="1" s="1"/>
  <c r="G252" i="1"/>
  <c r="D254" i="1" l="1"/>
  <c r="C254" i="1" s="1"/>
  <c r="E254" i="1"/>
  <c r="A255" i="1"/>
  <c r="E255" i="1" l="1"/>
  <c r="D255" i="1"/>
  <c r="C255" i="1" s="1"/>
  <c r="A256" i="1"/>
  <c r="G254" i="1"/>
  <c r="G255" i="1" l="1"/>
  <c r="A257" i="1"/>
  <c r="E256" i="1"/>
  <c r="D256" i="1"/>
  <c r="C256" i="1" s="1"/>
  <c r="A258" i="1" l="1"/>
  <c r="E257" i="1"/>
  <c r="D257" i="1"/>
  <c r="C257" i="1" s="1"/>
  <c r="G257" i="1" s="1"/>
  <c r="G256" i="1"/>
  <c r="D258" i="1" l="1"/>
  <c r="C258" i="1" s="1"/>
  <c r="G258" i="1" s="1"/>
  <c r="A259" i="1"/>
  <c r="E258" i="1"/>
  <c r="E259" i="1" l="1"/>
  <c r="A260" i="1"/>
  <c r="D259" i="1"/>
  <c r="C259" i="1" s="1"/>
  <c r="G259" i="1" s="1"/>
  <c r="A261" i="1" l="1"/>
  <c r="E260" i="1"/>
  <c r="D260" i="1"/>
  <c r="C260" i="1" s="1"/>
  <c r="G260" i="1" s="1"/>
  <c r="A262" i="1" l="1"/>
  <c r="E261" i="1"/>
  <c r="D261" i="1"/>
  <c r="C261" i="1" s="1"/>
  <c r="G261" i="1" s="1"/>
  <c r="E262" i="1" l="1"/>
  <c r="D262" i="1"/>
  <c r="C262" i="1" s="1"/>
  <c r="A263" i="1"/>
  <c r="A264" i="1" l="1"/>
  <c r="E263" i="1"/>
  <c r="D263" i="1"/>
  <c r="C263" i="1" s="1"/>
  <c r="G263" i="1" s="1"/>
  <c r="G262" i="1"/>
  <c r="D264" i="1" l="1"/>
  <c r="C264" i="1" s="1"/>
  <c r="A265" i="1"/>
  <c r="E264" i="1"/>
  <c r="E265" i="1" l="1"/>
  <c r="D265" i="1"/>
  <c r="C265" i="1" s="1"/>
  <c r="G265" i="1" s="1"/>
  <c r="A266" i="1"/>
  <c r="G264" i="1"/>
  <c r="A267" i="1" l="1"/>
  <c r="E266" i="1"/>
  <c r="D266" i="1"/>
  <c r="C266" i="1" s="1"/>
  <c r="G266" i="1" s="1"/>
  <c r="A268" i="1" l="1"/>
  <c r="D267" i="1"/>
  <c r="C267" i="1" s="1"/>
  <c r="E267" i="1"/>
  <c r="G267" i="1" l="1"/>
  <c r="A269" i="1"/>
  <c r="D268" i="1"/>
  <c r="C268" i="1" s="1"/>
  <c r="E268" i="1"/>
  <c r="A270" i="1" l="1"/>
  <c r="D269" i="1"/>
  <c r="C269" i="1" s="1"/>
  <c r="E269" i="1"/>
  <c r="G268" i="1"/>
  <c r="D270" i="1" l="1"/>
  <c r="C270" i="1" s="1"/>
  <c r="E270" i="1"/>
  <c r="A271" i="1"/>
  <c r="G269" i="1"/>
  <c r="E271" i="1" l="1"/>
  <c r="D271" i="1"/>
  <c r="C271" i="1" s="1"/>
  <c r="A272" i="1"/>
  <c r="G271" i="1"/>
  <c r="G270" i="1"/>
  <c r="A273" i="1" l="1"/>
  <c r="E272" i="1"/>
  <c r="D272" i="1"/>
  <c r="C272" i="1" s="1"/>
  <c r="G272" i="1" l="1"/>
  <c r="E273" i="1"/>
  <c r="D273" i="1"/>
  <c r="C273" i="1" s="1"/>
  <c r="A274" i="1"/>
  <c r="E274" i="1" l="1"/>
  <c r="D274" i="1"/>
  <c r="C274" i="1" s="1"/>
  <c r="G274" i="1" s="1"/>
  <c r="A275" i="1"/>
  <c r="G273" i="1"/>
  <c r="A276" i="1" l="1"/>
  <c r="E275" i="1"/>
  <c r="D275" i="1"/>
  <c r="C275" i="1" s="1"/>
  <c r="G275" i="1" s="1"/>
  <c r="D276" i="1" l="1"/>
  <c r="C276" i="1" s="1"/>
  <c r="A277" i="1"/>
  <c r="E276" i="1"/>
  <c r="E277" i="1" l="1"/>
  <c r="A278" i="1"/>
  <c r="D277" i="1"/>
  <c r="C277" i="1" s="1"/>
  <c r="G277" i="1" s="1"/>
  <c r="G276" i="1"/>
  <c r="A279" i="1" l="1"/>
  <c r="E278" i="1"/>
  <c r="D278" i="1"/>
  <c r="C278" i="1" s="1"/>
  <c r="G278" i="1" s="1"/>
  <c r="E279" i="1" l="1"/>
  <c r="D279" i="1"/>
  <c r="C279" i="1" s="1"/>
  <c r="A280" i="1"/>
  <c r="G279" i="1" l="1"/>
  <c r="D280" i="1"/>
  <c r="C280" i="1" s="1"/>
  <c r="A281" i="1"/>
  <c r="E280" i="1"/>
  <c r="A282" i="1" l="1"/>
  <c r="E281" i="1"/>
  <c r="D281" i="1"/>
  <c r="C281" i="1" s="1"/>
  <c r="G281" i="1" s="1"/>
  <c r="G280" i="1"/>
  <c r="E282" i="1" l="1"/>
  <c r="D282" i="1"/>
  <c r="C282" i="1" s="1"/>
  <c r="A283" i="1"/>
  <c r="A284" i="1" l="1"/>
  <c r="E283" i="1"/>
  <c r="D283" i="1"/>
  <c r="C283" i="1" s="1"/>
  <c r="G283" i="1" s="1"/>
  <c r="G282" i="1"/>
  <c r="D284" i="1" l="1"/>
  <c r="C284" i="1" s="1"/>
  <c r="A285" i="1"/>
  <c r="E284" i="1"/>
  <c r="E285" i="1" l="1"/>
  <c r="A286" i="1"/>
  <c r="D285" i="1"/>
  <c r="C285" i="1" s="1"/>
  <c r="G285" i="1" s="1"/>
  <c r="G284" i="1"/>
  <c r="E286" i="1" l="1"/>
  <c r="D286" i="1"/>
  <c r="C286" i="1" s="1"/>
  <c r="A287" i="1"/>
  <c r="E287" i="1" l="1"/>
  <c r="D287" i="1"/>
  <c r="C287" i="1" s="1"/>
  <c r="A288" i="1"/>
  <c r="G286" i="1"/>
  <c r="G287" i="1" l="1"/>
  <c r="A289" i="1"/>
  <c r="E288" i="1"/>
  <c r="D288" i="1"/>
  <c r="C288" i="1" s="1"/>
  <c r="G288" i="1" s="1"/>
  <c r="D289" i="1" l="1"/>
  <c r="C289" i="1" s="1"/>
  <c r="G289" i="1" s="1"/>
  <c r="E289" i="1"/>
  <c r="A290" i="1"/>
  <c r="D290" i="1" l="1"/>
  <c r="C290" i="1" s="1"/>
  <c r="G290" i="1" s="1"/>
  <c r="E290" i="1"/>
  <c r="A291" i="1"/>
  <c r="A292" i="1" l="1"/>
  <c r="D291" i="1"/>
  <c r="C291" i="1" s="1"/>
  <c r="E291" i="1"/>
  <c r="A293" i="1" l="1"/>
  <c r="D292" i="1"/>
  <c r="C292" i="1" s="1"/>
  <c r="E292" i="1"/>
  <c r="G291" i="1"/>
  <c r="E293" i="1" l="1"/>
  <c r="A294" i="1"/>
  <c r="D293" i="1"/>
  <c r="C293" i="1" s="1"/>
  <c r="G292" i="1"/>
  <c r="A295" i="1" l="1"/>
  <c r="E294" i="1"/>
  <c r="D294" i="1"/>
  <c r="C294" i="1" s="1"/>
  <c r="G293" i="1"/>
  <c r="D295" i="1" l="1"/>
  <c r="C295" i="1" s="1"/>
  <c r="E295" i="1"/>
  <c r="A296" i="1"/>
  <c r="G294" i="1"/>
  <c r="G295" i="1" l="1"/>
  <c r="A297" i="1"/>
  <c r="D296" i="1"/>
  <c r="C296" i="1" s="1"/>
  <c r="G296" i="1" s="1"/>
  <c r="E296" i="1"/>
  <c r="E297" i="1" l="1"/>
  <c r="D297" i="1"/>
  <c r="C297" i="1" s="1"/>
  <c r="G297" i="1" s="1"/>
  <c r="A298" i="1"/>
  <c r="A299" i="1" l="1"/>
  <c r="E298" i="1"/>
  <c r="D298" i="1"/>
  <c r="C298" i="1" s="1"/>
  <c r="G298" i="1" s="1"/>
  <c r="A300" i="1" l="1"/>
  <c r="E299" i="1"/>
  <c r="D299" i="1"/>
  <c r="C299" i="1" s="1"/>
  <c r="D300" i="1" l="1"/>
  <c r="C300" i="1" s="1"/>
  <c r="A301" i="1"/>
  <c r="E300" i="1"/>
  <c r="G299" i="1"/>
  <c r="E301" i="1" l="1"/>
  <c r="D301" i="1"/>
  <c r="C301" i="1" s="1"/>
  <c r="G301" i="1" s="1"/>
  <c r="A302" i="1"/>
  <c r="G300" i="1"/>
  <c r="A303" i="1" l="1"/>
  <c r="D302" i="1"/>
  <c r="C302" i="1" s="1"/>
  <c r="G302" i="1" s="1"/>
  <c r="E302" i="1"/>
  <c r="D303" i="1" l="1"/>
  <c r="C303" i="1" s="1"/>
  <c r="E303" i="1"/>
  <c r="A304" i="1"/>
  <c r="A305" i="1" l="1"/>
  <c r="E304" i="1"/>
  <c r="D304" i="1"/>
  <c r="C304" i="1" s="1"/>
  <c r="G304" i="1" s="1"/>
  <c r="G303" i="1"/>
  <c r="A306" i="1" l="1"/>
  <c r="D305" i="1"/>
  <c r="C305" i="1" s="1"/>
  <c r="E305" i="1"/>
  <c r="E306" i="1" l="1"/>
  <c r="D306" i="1"/>
  <c r="C306" i="1" s="1"/>
  <c r="A307" i="1"/>
  <c r="G305" i="1"/>
  <c r="E307" i="1" l="1"/>
  <c r="A308" i="1"/>
  <c r="D307" i="1"/>
  <c r="C307" i="1" s="1"/>
  <c r="G307" i="1"/>
  <c r="G306" i="1"/>
  <c r="A309" i="1" l="1"/>
  <c r="E308" i="1"/>
  <c r="D308" i="1"/>
  <c r="C308" i="1" s="1"/>
  <c r="E309" i="1" l="1"/>
  <c r="D309" i="1"/>
  <c r="C309" i="1" s="1"/>
  <c r="A310" i="1"/>
  <c r="G308" i="1"/>
  <c r="D310" i="1" l="1"/>
  <c r="C310" i="1" s="1"/>
  <c r="G310" i="1" s="1"/>
  <c r="A311" i="1"/>
  <c r="E310" i="1"/>
  <c r="G309" i="1"/>
  <c r="E311" i="1" l="1"/>
  <c r="D311" i="1"/>
  <c r="C311" i="1" s="1"/>
  <c r="G311" i="1" s="1"/>
  <c r="A312" i="1"/>
  <c r="E312" i="1" l="1"/>
  <c r="D312" i="1"/>
  <c r="C312" i="1" s="1"/>
  <c r="G312" i="1" s="1"/>
  <c r="A313" i="1"/>
  <c r="E313" i="1" l="1"/>
  <c r="D313" i="1"/>
  <c r="C313" i="1" s="1"/>
  <c r="G313" i="1" s="1"/>
  <c r="A314" i="1"/>
  <c r="D314" i="1" l="1"/>
  <c r="C314" i="1" s="1"/>
  <c r="A315" i="1"/>
  <c r="E314" i="1"/>
  <c r="A316" i="1" l="1"/>
  <c r="E315" i="1"/>
  <c r="D315" i="1"/>
  <c r="C315" i="1" s="1"/>
  <c r="G315" i="1" s="1"/>
  <c r="G314" i="1"/>
  <c r="E316" i="1" l="1"/>
  <c r="A317" i="1"/>
  <c r="D316" i="1"/>
  <c r="C316" i="1" s="1"/>
  <c r="E317" i="1" l="1"/>
  <c r="D317" i="1"/>
  <c r="C317" i="1" s="1"/>
  <c r="A318" i="1"/>
  <c r="G316" i="1"/>
  <c r="A319" i="1" l="1"/>
  <c r="E318" i="1"/>
  <c r="D318" i="1"/>
  <c r="C318" i="1" s="1"/>
  <c r="G318" i="1" s="1"/>
  <c r="G317" i="1"/>
  <c r="A320" i="1" l="1"/>
  <c r="D319" i="1"/>
  <c r="C319" i="1" s="1"/>
  <c r="E319" i="1"/>
  <c r="E320" i="1" l="1"/>
  <c r="D320" i="1"/>
  <c r="C320" i="1" s="1"/>
  <c r="A321" i="1"/>
  <c r="G319" i="1"/>
  <c r="A322" i="1" l="1"/>
  <c r="E321" i="1"/>
  <c r="D321" i="1"/>
  <c r="C321" i="1" s="1"/>
  <c r="G320" i="1"/>
  <c r="G321" i="1" l="1"/>
  <c r="E322" i="1"/>
  <c r="D322" i="1"/>
  <c r="C322" i="1" s="1"/>
  <c r="G322" i="1" s="1"/>
  <c r="A323" i="1"/>
  <c r="D323" i="1" l="1"/>
  <c r="C323" i="1" s="1"/>
  <c r="G323" i="1" s="1"/>
  <c r="A324" i="1"/>
  <c r="E323" i="1"/>
  <c r="E324" i="1" l="1"/>
  <c r="D324" i="1"/>
  <c r="C324" i="1" s="1"/>
  <c r="A325" i="1"/>
  <c r="G324" i="1" l="1"/>
  <c r="A326" i="1"/>
  <c r="E325" i="1"/>
  <c r="D325" i="1"/>
  <c r="C325" i="1" s="1"/>
  <c r="G325" i="1" s="1"/>
  <c r="E326" i="1" l="1"/>
  <c r="D326" i="1"/>
  <c r="C326" i="1" s="1"/>
  <c r="G326" i="1" s="1"/>
  <c r="A327" i="1"/>
  <c r="E327" i="1" l="1"/>
  <c r="D327" i="1"/>
  <c r="C327" i="1" s="1"/>
  <c r="A328" i="1"/>
  <c r="A329" i="1" l="1"/>
  <c r="E328" i="1"/>
  <c r="D328" i="1"/>
  <c r="C328" i="1" s="1"/>
  <c r="G327" i="1"/>
  <c r="A330" i="1" l="1"/>
  <c r="E329" i="1"/>
  <c r="D329" i="1"/>
  <c r="C329" i="1" s="1"/>
  <c r="G328" i="1"/>
  <c r="G329" i="1" l="1"/>
  <c r="E330" i="1"/>
  <c r="D330" i="1"/>
  <c r="C330" i="1" s="1"/>
  <c r="A331" i="1"/>
  <c r="G330" i="1" l="1"/>
  <c r="A332" i="1"/>
  <c r="E331" i="1"/>
  <c r="D331" i="1"/>
  <c r="C331" i="1" s="1"/>
  <c r="E332" i="1" l="1"/>
  <c r="D332" i="1"/>
  <c r="C332" i="1" s="1"/>
  <c r="A333" i="1"/>
  <c r="G331" i="1"/>
  <c r="D333" i="1" l="1"/>
  <c r="C333" i="1" s="1"/>
  <c r="G333" i="1" s="1"/>
  <c r="E333" i="1"/>
  <c r="A334" i="1"/>
  <c r="G332" i="1"/>
  <c r="E334" i="1" l="1"/>
  <c r="A335" i="1"/>
  <c r="D334" i="1"/>
  <c r="C334" i="1" s="1"/>
  <c r="G334" i="1" s="1"/>
  <c r="A336" i="1" l="1"/>
  <c r="E335" i="1"/>
  <c r="D335" i="1"/>
  <c r="C335" i="1" s="1"/>
  <c r="E336" i="1" l="1"/>
  <c r="D336" i="1"/>
  <c r="C336" i="1" s="1"/>
  <c r="A337" i="1"/>
  <c r="G335" i="1"/>
  <c r="E337" i="1" l="1"/>
  <c r="D337" i="1"/>
  <c r="C337" i="1" s="1"/>
  <c r="G337" i="1" s="1"/>
  <c r="A338" i="1"/>
  <c r="G336" i="1"/>
  <c r="A339" i="1" l="1"/>
  <c r="E338" i="1"/>
  <c r="D338" i="1"/>
  <c r="C338" i="1" s="1"/>
  <c r="G338" i="1" s="1"/>
  <c r="E339" i="1" l="1"/>
  <c r="D339" i="1"/>
  <c r="C339" i="1" s="1"/>
  <c r="A340" i="1"/>
  <c r="E340" i="1" l="1"/>
  <c r="D340" i="1"/>
  <c r="C340" i="1" s="1"/>
  <c r="G340" i="1" s="1"/>
  <c r="A341" i="1"/>
  <c r="G339" i="1"/>
  <c r="A342" i="1" l="1"/>
  <c r="E341" i="1"/>
  <c r="D341" i="1"/>
  <c r="C341" i="1" s="1"/>
  <c r="G341" i="1"/>
  <c r="E342" i="1" l="1"/>
  <c r="D342" i="1"/>
  <c r="C342" i="1" s="1"/>
  <c r="A343" i="1"/>
  <c r="D343" i="1" l="1"/>
  <c r="C343" i="1" s="1"/>
  <c r="E343" i="1"/>
  <c r="A344" i="1"/>
  <c r="G342" i="1"/>
  <c r="G343" i="1" l="1"/>
  <c r="E344" i="1"/>
  <c r="A345" i="1"/>
  <c r="D344" i="1"/>
  <c r="C344" i="1" s="1"/>
  <c r="A346" i="1" l="1"/>
  <c r="D345" i="1"/>
  <c r="C345" i="1" s="1"/>
  <c r="E345" i="1"/>
  <c r="G344" i="1"/>
  <c r="A347" i="1" l="1"/>
  <c r="E346" i="1"/>
  <c r="D346" i="1"/>
  <c r="C346" i="1" s="1"/>
  <c r="G345" i="1"/>
  <c r="E347" i="1" l="1"/>
  <c r="D347" i="1"/>
  <c r="C347" i="1" s="1"/>
  <c r="A348" i="1"/>
  <c r="G346" i="1"/>
  <c r="A349" i="1" l="1"/>
  <c r="E348" i="1"/>
  <c r="D348" i="1"/>
  <c r="C348" i="1" s="1"/>
  <c r="G347" i="1"/>
  <c r="A350" i="1" l="1"/>
  <c r="E349" i="1"/>
  <c r="D349" i="1"/>
  <c r="C349" i="1" s="1"/>
  <c r="G348" i="1"/>
  <c r="E350" i="1" l="1"/>
  <c r="D350" i="1"/>
  <c r="C350" i="1" s="1"/>
  <c r="A351" i="1"/>
  <c r="G349" i="1"/>
  <c r="A352" i="1" l="1"/>
  <c r="D351" i="1"/>
  <c r="C351" i="1" s="1"/>
  <c r="G351" i="1" s="1"/>
  <c r="E351" i="1"/>
  <c r="G350" i="1"/>
  <c r="A353" i="1" l="1"/>
  <c r="E352" i="1"/>
  <c r="D352" i="1"/>
  <c r="C352" i="1" s="1"/>
  <c r="D353" i="1" l="1"/>
  <c r="C353" i="1" s="1"/>
  <c r="E353" i="1"/>
  <c r="A354" i="1"/>
  <c r="G352" i="1"/>
  <c r="G353" i="1" l="1"/>
  <c r="E354" i="1"/>
  <c r="A355" i="1"/>
  <c r="D354" i="1"/>
  <c r="C354" i="1" s="1"/>
  <c r="A356" i="1" l="1"/>
  <c r="E355" i="1"/>
  <c r="D355" i="1"/>
  <c r="C355" i="1" s="1"/>
  <c r="G354" i="1"/>
  <c r="A357" i="1" l="1"/>
  <c r="E356" i="1"/>
  <c r="D356" i="1"/>
  <c r="C356" i="1" s="1"/>
  <c r="G355" i="1"/>
  <c r="E357" i="1" l="1"/>
  <c r="D357" i="1"/>
  <c r="C357" i="1" s="1"/>
  <c r="A358" i="1"/>
  <c r="G356" i="1"/>
  <c r="A359" i="1" l="1"/>
  <c r="E358" i="1"/>
  <c r="D358" i="1"/>
  <c r="C358" i="1" s="1"/>
  <c r="G358" i="1"/>
  <c r="G357" i="1"/>
  <c r="D359" i="1" l="1"/>
  <c r="C359" i="1" s="1"/>
  <c r="A360" i="1"/>
  <c r="E359" i="1"/>
  <c r="E360" i="1" l="1"/>
  <c r="D360" i="1"/>
  <c r="C360" i="1" s="1"/>
  <c r="G360" i="1" s="1"/>
  <c r="A361" i="1"/>
  <c r="G359" i="1"/>
  <c r="A362" i="1" l="1"/>
  <c r="D361" i="1"/>
  <c r="C361" i="1" s="1"/>
  <c r="E361" i="1"/>
  <c r="A363" i="1" l="1"/>
  <c r="D362" i="1"/>
  <c r="C362" i="1" s="1"/>
  <c r="E362" i="1"/>
  <c r="G361" i="1"/>
  <c r="D363" i="1" l="1"/>
  <c r="C363" i="1" s="1"/>
  <c r="E363" i="1"/>
  <c r="A364" i="1"/>
  <c r="G362" i="1"/>
  <c r="E364" i="1" l="1"/>
  <c r="A365" i="1"/>
  <c r="D364" i="1"/>
  <c r="C364" i="1" s="1"/>
  <c r="G364" i="1"/>
  <c r="G363" i="1"/>
  <c r="A366" i="1" l="1"/>
  <c r="D365" i="1"/>
  <c r="C365" i="1" s="1"/>
  <c r="E365" i="1"/>
  <c r="A367" i="1" l="1"/>
  <c r="E366" i="1"/>
  <c r="D366" i="1"/>
  <c r="C366" i="1" s="1"/>
  <c r="G365" i="1"/>
  <c r="E367" i="1" l="1"/>
  <c r="D367" i="1"/>
  <c r="C367" i="1" s="1"/>
  <c r="A368" i="1"/>
  <c r="G366" i="1"/>
  <c r="A369" i="1" l="1"/>
  <c r="D368" i="1"/>
  <c r="C368" i="1" s="1"/>
  <c r="G368" i="1" s="1"/>
  <c r="E368" i="1"/>
  <c r="G367" i="1"/>
  <c r="E369" i="1" l="1"/>
  <c r="D369" i="1"/>
  <c r="C369" i="1" s="1"/>
  <c r="A370" i="1"/>
  <c r="E370" i="1" l="1"/>
  <c r="D370" i="1"/>
  <c r="C370" i="1" s="1"/>
  <c r="A371" i="1"/>
  <c r="G369" i="1"/>
  <c r="A372" i="1" l="1"/>
  <c r="D371" i="1"/>
  <c r="C371" i="1" s="1"/>
  <c r="G371" i="1" s="1"/>
  <c r="E371" i="1"/>
  <c r="G370" i="1"/>
  <c r="A373" i="1" l="1"/>
  <c r="E372" i="1"/>
  <c r="D372" i="1"/>
  <c r="C372" i="1" s="1"/>
  <c r="D373" i="1" l="1"/>
  <c r="C373" i="1" s="1"/>
  <c r="E373" i="1"/>
  <c r="A374" i="1"/>
  <c r="G372" i="1"/>
  <c r="E374" i="1" l="1"/>
  <c r="D374" i="1"/>
  <c r="C374" i="1" s="1"/>
  <c r="G374" i="1" s="1"/>
  <c r="A375" i="1"/>
  <c r="G373" i="1"/>
  <c r="A376" i="1" l="1"/>
  <c r="E375" i="1"/>
  <c r="D375" i="1"/>
  <c r="C375" i="1" s="1"/>
  <c r="G375" i="1" l="1"/>
  <c r="A377" i="1"/>
  <c r="E376" i="1"/>
  <c r="D376" i="1"/>
  <c r="C376" i="1" s="1"/>
  <c r="G376" i="1" s="1"/>
  <c r="E377" i="1" l="1"/>
  <c r="D377" i="1"/>
  <c r="C377" i="1" s="1"/>
  <c r="G377" i="1" s="1"/>
  <c r="A378" i="1"/>
  <c r="A379" i="1" l="1"/>
  <c r="E378" i="1"/>
  <c r="D378" i="1"/>
  <c r="C378" i="1" s="1"/>
  <c r="G378" i="1" s="1"/>
  <c r="E379" i="1" l="1"/>
  <c r="D379" i="1"/>
  <c r="C379" i="1" s="1"/>
  <c r="A380" i="1"/>
  <c r="E380" i="1" l="1"/>
  <c r="D380" i="1"/>
  <c r="C380" i="1" s="1"/>
  <c r="A381" i="1"/>
  <c r="G379" i="1"/>
  <c r="A382" i="1" l="1"/>
  <c r="E381" i="1"/>
  <c r="D381" i="1"/>
  <c r="C381" i="1" s="1"/>
  <c r="G381" i="1" s="1"/>
  <c r="G380" i="1"/>
  <c r="A383" i="1" l="1"/>
  <c r="E382" i="1"/>
  <c r="D382" i="1"/>
  <c r="C382" i="1" s="1"/>
  <c r="D383" i="1" l="1"/>
  <c r="C383" i="1" s="1"/>
  <c r="E383" i="1"/>
  <c r="A384" i="1"/>
  <c r="G382" i="1"/>
  <c r="E384" i="1" l="1"/>
  <c r="A385" i="1"/>
  <c r="D384" i="1"/>
  <c r="C384" i="1" s="1"/>
  <c r="G384" i="1" s="1"/>
  <c r="G383" i="1"/>
  <c r="A386" i="1" l="1"/>
  <c r="E385" i="1"/>
  <c r="D385" i="1"/>
  <c r="C385" i="1" s="1"/>
  <c r="G385" i="1" s="1"/>
  <c r="A387" i="1" l="1"/>
  <c r="E386" i="1"/>
  <c r="D386" i="1"/>
  <c r="C386" i="1" s="1"/>
  <c r="E387" i="1" l="1"/>
  <c r="D387" i="1"/>
  <c r="C387" i="1" s="1"/>
  <c r="A388" i="1"/>
  <c r="G386" i="1"/>
  <c r="A389" i="1" l="1"/>
  <c r="D388" i="1"/>
  <c r="C388" i="1" s="1"/>
  <c r="G388" i="1" s="1"/>
  <c r="E388" i="1"/>
  <c r="G387" i="1"/>
  <c r="E389" i="1" l="1"/>
  <c r="D389" i="1"/>
  <c r="C389" i="1" s="1"/>
  <c r="A390" i="1"/>
  <c r="E390" i="1" l="1"/>
  <c r="D390" i="1"/>
  <c r="C390" i="1" s="1"/>
  <c r="G390" i="1" s="1"/>
  <c r="A391" i="1"/>
  <c r="G389" i="1"/>
  <c r="A392" i="1" l="1"/>
  <c r="E391" i="1"/>
  <c r="D391" i="1"/>
  <c r="C391" i="1" s="1"/>
  <c r="G391" i="1" l="1"/>
  <c r="A393" i="1"/>
  <c r="E392" i="1"/>
  <c r="D392" i="1"/>
  <c r="C392" i="1" s="1"/>
  <c r="D393" i="1" l="1"/>
  <c r="C393" i="1" s="1"/>
  <c r="A394" i="1"/>
  <c r="E393" i="1"/>
  <c r="G392" i="1"/>
  <c r="E394" i="1" l="1"/>
  <c r="D394" i="1"/>
  <c r="C394" i="1" s="1"/>
  <c r="A395" i="1"/>
  <c r="G393" i="1"/>
  <c r="A396" i="1" l="1"/>
  <c r="E395" i="1"/>
  <c r="D395" i="1"/>
  <c r="C395" i="1" s="1"/>
  <c r="G395" i="1" s="1"/>
  <c r="G394" i="1"/>
  <c r="A397" i="1" l="1"/>
  <c r="E396" i="1"/>
  <c r="D396" i="1"/>
  <c r="C396" i="1" s="1"/>
  <c r="E397" i="1" l="1"/>
  <c r="D397" i="1"/>
  <c r="C397" i="1" s="1"/>
  <c r="A398" i="1"/>
  <c r="G396" i="1"/>
  <c r="G397" i="1" l="1"/>
  <c r="A399" i="1"/>
  <c r="E398" i="1"/>
  <c r="D398" i="1"/>
  <c r="C398" i="1" s="1"/>
  <c r="A400" i="1" l="1"/>
  <c r="E399" i="1"/>
  <c r="D399" i="1"/>
  <c r="C399" i="1" s="1"/>
  <c r="G398" i="1"/>
  <c r="E400" i="1" l="1"/>
  <c r="D400" i="1"/>
  <c r="C400" i="1" s="1"/>
  <c r="A401" i="1"/>
  <c r="G399" i="1"/>
  <c r="A402" i="1" l="1"/>
  <c r="E401" i="1"/>
  <c r="D401" i="1"/>
  <c r="C401" i="1" s="1"/>
  <c r="G401" i="1"/>
  <c r="G400" i="1"/>
  <c r="D402" i="1" l="1"/>
  <c r="C402" i="1" s="1"/>
  <c r="E402" i="1"/>
  <c r="A403" i="1"/>
  <c r="D403" i="1" l="1"/>
  <c r="C403" i="1" s="1"/>
  <c r="G403" i="1" s="1"/>
  <c r="A404" i="1"/>
  <c r="E403" i="1"/>
  <c r="G402" i="1"/>
  <c r="E404" i="1" l="1"/>
  <c r="A405" i="1"/>
  <c r="D404" i="1"/>
  <c r="C404" i="1" s="1"/>
  <c r="A406" i="1" l="1"/>
  <c r="E405" i="1"/>
  <c r="D405" i="1"/>
  <c r="C405" i="1" s="1"/>
  <c r="G405" i="1" s="1"/>
  <c r="G404" i="1"/>
  <c r="E406" i="1" l="1"/>
  <c r="D406" i="1"/>
  <c r="C406" i="1" s="1"/>
  <c r="A407" i="1"/>
  <c r="E407" i="1" l="1"/>
  <c r="D407" i="1"/>
  <c r="C407" i="1" s="1"/>
  <c r="A408" i="1"/>
  <c r="G406" i="1"/>
  <c r="A409" i="1" l="1"/>
  <c r="E408" i="1"/>
  <c r="D408" i="1"/>
  <c r="C408" i="1" s="1"/>
  <c r="G408" i="1" s="1"/>
  <c r="G407" i="1"/>
  <c r="E409" i="1" l="1"/>
  <c r="D409" i="1"/>
  <c r="C409" i="1" s="1"/>
  <c r="A410" i="1"/>
  <c r="E410" i="1" l="1"/>
  <c r="D410" i="1"/>
  <c r="C410" i="1" s="1"/>
  <c r="A411" i="1"/>
  <c r="G409" i="1"/>
  <c r="G410" i="1" l="1"/>
  <c r="A412" i="1"/>
  <c r="D411" i="1"/>
  <c r="C411" i="1" s="1"/>
  <c r="E411" i="1"/>
  <c r="D412" i="1" l="1"/>
  <c r="C412" i="1" s="1"/>
  <c r="A413" i="1"/>
  <c r="E412" i="1"/>
  <c r="G411" i="1"/>
  <c r="D413" i="1" l="1"/>
  <c r="C413" i="1" s="1"/>
  <c r="G413" i="1" s="1"/>
  <c r="E413" i="1"/>
  <c r="A414" i="1"/>
  <c r="G412" i="1"/>
  <c r="A415" i="1" l="1"/>
  <c r="E414" i="1"/>
  <c r="D414" i="1"/>
  <c r="C414" i="1" s="1"/>
  <c r="E415" i="1" l="1"/>
  <c r="A416" i="1"/>
  <c r="D415" i="1"/>
  <c r="C415" i="1" s="1"/>
  <c r="G414" i="1"/>
  <c r="E416" i="1" l="1"/>
  <c r="D416" i="1"/>
  <c r="C416" i="1" s="1"/>
  <c r="A417" i="1"/>
  <c r="G415" i="1"/>
  <c r="A418" i="1" l="1"/>
  <c r="D417" i="1"/>
  <c r="C417" i="1" s="1"/>
  <c r="E417" i="1"/>
  <c r="G417" i="1"/>
  <c r="G416" i="1"/>
  <c r="A419" i="1" l="1"/>
  <c r="E418" i="1"/>
  <c r="D418" i="1"/>
  <c r="C418" i="1" s="1"/>
  <c r="E419" i="1" l="1"/>
  <c r="A420" i="1"/>
  <c r="D419" i="1"/>
  <c r="C419" i="1" s="1"/>
  <c r="G418" i="1"/>
  <c r="E420" i="1" l="1"/>
  <c r="A421" i="1"/>
  <c r="D420" i="1"/>
  <c r="C420" i="1" s="1"/>
  <c r="G420" i="1" s="1"/>
  <c r="G419" i="1"/>
  <c r="A422" i="1" l="1"/>
  <c r="D421" i="1"/>
  <c r="C421" i="1" s="1"/>
  <c r="E421" i="1"/>
  <c r="G421" i="1"/>
  <c r="A423" i="1" l="1"/>
  <c r="E422" i="1"/>
  <c r="D422" i="1"/>
  <c r="C422" i="1" s="1"/>
  <c r="D423" i="1" l="1"/>
  <c r="C423" i="1" s="1"/>
  <c r="E423" i="1"/>
  <c r="A424" i="1"/>
  <c r="G422" i="1"/>
  <c r="E424" i="1" l="1"/>
  <c r="D424" i="1"/>
  <c r="C424" i="1" s="1"/>
  <c r="A425" i="1"/>
  <c r="G423" i="1"/>
  <c r="A426" i="1" l="1"/>
  <c r="E425" i="1"/>
  <c r="D425" i="1"/>
  <c r="C425" i="1" s="1"/>
  <c r="G425" i="1" s="1"/>
  <c r="G424" i="1"/>
  <c r="A427" i="1" l="1"/>
  <c r="E426" i="1"/>
  <c r="D426" i="1"/>
  <c r="C426" i="1" s="1"/>
  <c r="E427" i="1" l="1"/>
  <c r="A428" i="1"/>
  <c r="D427" i="1"/>
  <c r="C427" i="1" s="1"/>
  <c r="G426" i="1"/>
  <c r="A429" i="1" l="1"/>
  <c r="D428" i="1"/>
  <c r="C428" i="1" s="1"/>
  <c r="E428" i="1"/>
  <c r="G427" i="1"/>
  <c r="E429" i="1" l="1"/>
  <c r="D429" i="1"/>
  <c r="C429" i="1" s="1"/>
  <c r="A430" i="1"/>
  <c r="G428" i="1"/>
  <c r="E430" i="1" l="1"/>
  <c r="D430" i="1"/>
  <c r="C430" i="1" s="1"/>
  <c r="G430" i="1" s="1"/>
  <c r="A431" i="1"/>
  <c r="G429" i="1"/>
  <c r="A432" i="1" l="1"/>
  <c r="D431" i="1"/>
  <c r="C431" i="1" s="1"/>
  <c r="E431" i="1"/>
  <c r="A433" i="1" l="1"/>
  <c r="E432" i="1"/>
  <c r="D432" i="1"/>
  <c r="C432" i="1" s="1"/>
  <c r="G431" i="1"/>
  <c r="G432" i="1" l="1"/>
  <c r="D433" i="1"/>
  <c r="C433" i="1" s="1"/>
  <c r="E433" i="1"/>
  <c r="A434" i="1"/>
  <c r="A435" i="1" l="1"/>
  <c r="E434" i="1"/>
  <c r="D434" i="1"/>
  <c r="C434" i="1" s="1"/>
  <c r="G433" i="1"/>
  <c r="E435" i="1" l="1"/>
  <c r="A436" i="1"/>
  <c r="D435" i="1"/>
  <c r="C435" i="1" s="1"/>
  <c r="G434" i="1"/>
  <c r="E436" i="1" l="1"/>
  <c r="D436" i="1"/>
  <c r="C436" i="1" s="1"/>
  <c r="A437" i="1"/>
  <c r="G435" i="1"/>
  <c r="E437" i="1" l="1"/>
  <c r="A438" i="1"/>
  <c r="D437" i="1"/>
  <c r="C437" i="1" s="1"/>
  <c r="G436" i="1"/>
  <c r="A439" i="1" l="1"/>
  <c r="E438" i="1"/>
  <c r="D438" i="1"/>
  <c r="C438" i="1" s="1"/>
  <c r="G437" i="1"/>
  <c r="A440" i="1" l="1"/>
  <c r="D439" i="1"/>
  <c r="C439" i="1" s="1"/>
  <c r="G439" i="1" s="1"/>
  <c r="E439" i="1"/>
  <c r="G438" i="1"/>
  <c r="E440" i="1" l="1"/>
  <c r="D440" i="1"/>
  <c r="C440" i="1" s="1"/>
  <c r="A441" i="1"/>
  <c r="G440" i="1" l="1"/>
  <c r="A442" i="1"/>
  <c r="E441" i="1"/>
  <c r="D441" i="1"/>
  <c r="C441" i="1" s="1"/>
  <c r="E442" i="1" l="1"/>
  <c r="D442" i="1"/>
  <c r="C442" i="1" s="1"/>
  <c r="A443" i="1"/>
  <c r="G441" i="1"/>
  <c r="G442" i="1" l="1"/>
  <c r="D443" i="1"/>
  <c r="C443" i="1" s="1"/>
  <c r="A444" i="1"/>
  <c r="E443" i="1"/>
  <c r="E444" i="1" l="1"/>
  <c r="D444" i="1"/>
  <c r="C444" i="1" s="1"/>
  <c r="A445" i="1"/>
  <c r="G443" i="1"/>
  <c r="G444" i="1" l="1"/>
  <c r="A446" i="1"/>
  <c r="E445" i="1"/>
  <c r="D445" i="1"/>
  <c r="C445" i="1" s="1"/>
  <c r="E446" i="1" l="1"/>
  <c r="D446" i="1"/>
  <c r="C446" i="1" s="1"/>
  <c r="G446" i="1" s="1"/>
  <c r="A447" i="1"/>
  <c r="G445" i="1"/>
  <c r="E447" i="1" l="1"/>
  <c r="D447" i="1"/>
  <c r="C447" i="1" s="1"/>
  <c r="A448" i="1"/>
  <c r="G447" i="1" l="1"/>
  <c r="A449" i="1"/>
  <c r="E448" i="1"/>
  <c r="D448" i="1"/>
  <c r="C448" i="1" s="1"/>
  <c r="D449" i="1" l="1"/>
  <c r="C449" i="1" s="1"/>
  <c r="E449" i="1"/>
  <c r="A450" i="1"/>
  <c r="G448" i="1"/>
  <c r="E450" i="1" l="1"/>
  <c r="D450" i="1"/>
  <c r="C450" i="1" s="1"/>
  <c r="A451" i="1"/>
  <c r="G449" i="1"/>
  <c r="A452" i="1" l="1"/>
  <c r="E451" i="1"/>
  <c r="D451" i="1"/>
  <c r="C451" i="1" s="1"/>
  <c r="G451" i="1" s="1"/>
  <c r="G450" i="1"/>
  <c r="E452" i="1" l="1"/>
  <c r="D452" i="1"/>
  <c r="C452" i="1" s="1"/>
  <c r="A453" i="1"/>
  <c r="D453" i="1" l="1"/>
  <c r="C453" i="1" s="1"/>
  <c r="G453" i="1" s="1"/>
  <c r="E453" i="1"/>
  <c r="A454" i="1"/>
  <c r="G452" i="1"/>
  <c r="E454" i="1" l="1"/>
  <c r="A455" i="1"/>
  <c r="D454" i="1"/>
  <c r="C454" i="1" s="1"/>
  <c r="G454" i="1" s="1"/>
  <c r="A456" i="1" l="1"/>
  <c r="D455" i="1"/>
  <c r="C455" i="1" s="1"/>
  <c r="E455" i="1"/>
  <c r="E456" i="1" l="1"/>
  <c r="A457" i="1"/>
  <c r="D456" i="1"/>
  <c r="C456" i="1" s="1"/>
  <c r="G456" i="1" s="1"/>
  <c r="G455" i="1"/>
  <c r="E457" i="1" l="1"/>
  <c r="D457" i="1"/>
  <c r="C457" i="1" s="1"/>
  <c r="A458" i="1"/>
  <c r="G457" i="1" l="1"/>
  <c r="A459" i="1"/>
  <c r="E458" i="1"/>
  <c r="D458" i="1"/>
  <c r="C458" i="1" s="1"/>
  <c r="E459" i="1" l="1"/>
  <c r="D459" i="1"/>
  <c r="C459" i="1" s="1"/>
  <c r="A460" i="1"/>
  <c r="G458" i="1"/>
  <c r="E460" i="1" l="1"/>
  <c r="D460" i="1"/>
  <c r="C460" i="1" s="1"/>
  <c r="G460" i="1" s="1"/>
  <c r="A461" i="1"/>
  <c r="G459" i="1"/>
  <c r="A462" i="1" l="1"/>
  <c r="D461" i="1"/>
  <c r="C461" i="1" s="1"/>
  <c r="E461" i="1"/>
  <c r="G461" i="1"/>
  <c r="E462" i="1" l="1"/>
  <c r="A463" i="1"/>
  <c r="D462" i="1"/>
  <c r="C462" i="1" s="1"/>
  <c r="D463" i="1" l="1"/>
  <c r="C463" i="1" s="1"/>
  <c r="A464" i="1"/>
  <c r="E463" i="1"/>
  <c r="G462" i="1"/>
  <c r="E464" i="1" l="1"/>
  <c r="A465" i="1"/>
  <c r="D464" i="1"/>
  <c r="C464" i="1" s="1"/>
  <c r="G464" i="1" s="1"/>
  <c r="G463" i="1"/>
  <c r="A466" i="1" l="1"/>
  <c r="E465" i="1"/>
  <c r="D465" i="1"/>
  <c r="C465" i="1" s="1"/>
  <c r="A467" i="1" l="1"/>
  <c r="D466" i="1"/>
  <c r="C466" i="1" s="1"/>
  <c r="E466" i="1"/>
  <c r="G465" i="1"/>
  <c r="E467" i="1" l="1"/>
  <c r="D467" i="1"/>
  <c r="C467" i="1" s="1"/>
  <c r="A468" i="1"/>
  <c r="G466" i="1"/>
  <c r="A469" i="1" l="1"/>
  <c r="E468" i="1"/>
  <c r="D468" i="1"/>
  <c r="C468" i="1" s="1"/>
  <c r="G468" i="1" s="1"/>
  <c r="G467" i="1"/>
  <c r="D469" i="1" l="1"/>
  <c r="C469" i="1" s="1"/>
  <c r="E469" i="1"/>
  <c r="A470" i="1"/>
  <c r="G469" i="1" l="1"/>
  <c r="D470" i="1"/>
  <c r="C470" i="1" s="1"/>
  <c r="A471" i="1"/>
  <c r="E470" i="1"/>
  <c r="E471" i="1" l="1"/>
  <c r="D471" i="1"/>
  <c r="C471" i="1" s="1"/>
  <c r="G471" i="1" s="1"/>
  <c r="A472" i="1"/>
  <c r="G470" i="1"/>
  <c r="E472" i="1" l="1"/>
  <c r="D472" i="1"/>
  <c r="C472" i="1" s="1"/>
  <c r="G472" i="1" s="1"/>
  <c r="A473" i="1"/>
  <c r="A474" i="1" l="1"/>
  <c r="E473" i="1"/>
  <c r="D473" i="1"/>
  <c r="C473" i="1" s="1"/>
  <c r="G473" i="1" l="1"/>
  <c r="E474" i="1"/>
  <c r="A475" i="1"/>
  <c r="D474" i="1"/>
  <c r="C474" i="1" s="1"/>
  <c r="G474" i="1" s="1"/>
  <c r="E475" i="1" l="1"/>
  <c r="D475" i="1"/>
  <c r="C475" i="1" s="1"/>
  <c r="G475" i="1" s="1"/>
  <c r="A476" i="1"/>
  <c r="A477" i="1" l="1"/>
  <c r="E476" i="1"/>
  <c r="D476" i="1"/>
  <c r="C476" i="1" s="1"/>
  <c r="G476" i="1" s="1"/>
  <c r="E477" i="1" l="1"/>
  <c r="A478" i="1"/>
  <c r="D477" i="1"/>
  <c r="C477" i="1" s="1"/>
  <c r="G477" i="1" s="1"/>
  <c r="A479" i="1" l="1"/>
  <c r="E478" i="1"/>
  <c r="D478" i="1"/>
  <c r="C478" i="1" s="1"/>
  <c r="G478" i="1" s="1"/>
  <c r="A480" i="1" l="1"/>
  <c r="E479" i="1"/>
  <c r="D479" i="1"/>
  <c r="C479" i="1" s="1"/>
  <c r="D480" i="1" l="1"/>
  <c r="C480" i="1" s="1"/>
  <c r="E480" i="1"/>
  <c r="A481" i="1"/>
  <c r="G479" i="1"/>
  <c r="A482" i="1" l="1"/>
  <c r="D481" i="1"/>
  <c r="C481" i="1" s="1"/>
  <c r="E481" i="1"/>
  <c r="G481" i="1"/>
  <c r="G480" i="1"/>
  <c r="E482" i="1" l="1"/>
  <c r="D482" i="1"/>
  <c r="C482" i="1" s="1"/>
  <c r="A483" i="1"/>
  <c r="E483" i="1" l="1"/>
  <c r="D483" i="1"/>
  <c r="C483" i="1" s="1"/>
  <c r="A484" i="1"/>
  <c r="G482" i="1"/>
  <c r="G483" i="1" l="1"/>
  <c r="A485" i="1"/>
  <c r="E484" i="1"/>
  <c r="D484" i="1"/>
  <c r="C484" i="1" s="1"/>
  <c r="D485" i="1" l="1"/>
  <c r="C485" i="1" s="1"/>
  <c r="E485" i="1"/>
  <c r="A486" i="1"/>
  <c r="G484" i="1"/>
  <c r="E486" i="1" l="1"/>
  <c r="A487" i="1"/>
  <c r="D486" i="1"/>
  <c r="C486" i="1" s="1"/>
  <c r="G486" i="1"/>
  <c r="G485" i="1"/>
  <c r="E487" i="1" l="1"/>
  <c r="D487" i="1"/>
  <c r="C487" i="1" s="1"/>
  <c r="A488" i="1"/>
  <c r="A489" i="1" l="1"/>
  <c r="D488" i="1"/>
  <c r="C488" i="1" s="1"/>
  <c r="G488" i="1" s="1"/>
  <c r="E488" i="1"/>
  <c r="G487" i="1"/>
  <c r="A490" i="1" l="1"/>
  <c r="E489" i="1"/>
  <c r="D489" i="1"/>
  <c r="C489" i="1" s="1"/>
  <c r="G489" i="1" s="1"/>
  <c r="D490" i="1" l="1"/>
  <c r="C490" i="1" s="1"/>
  <c r="E490" i="1"/>
  <c r="A491" i="1"/>
  <c r="E491" i="1" l="1"/>
  <c r="D491" i="1"/>
  <c r="C491" i="1" s="1"/>
  <c r="A492" i="1"/>
  <c r="G491" i="1"/>
  <c r="G490" i="1"/>
  <c r="A493" i="1" l="1"/>
  <c r="E492" i="1"/>
  <c r="D492" i="1"/>
  <c r="C492" i="1" s="1"/>
  <c r="G492" i="1"/>
  <c r="A494" i="1" l="1"/>
  <c r="E493" i="1"/>
  <c r="D493" i="1"/>
  <c r="C493" i="1" s="1"/>
  <c r="E494" i="1" l="1"/>
  <c r="D494" i="1"/>
  <c r="C494" i="1" s="1"/>
  <c r="A495" i="1"/>
  <c r="G493" i="1"/>
  <c r="A496" i="1" l="1"/>
  <c r="E495" i="1"/>
  <c r="D495" i="1"/>
  <c r="C495" i="1" s="1"/>
  <c r="G495" i="1" s="1"/>
  <c r="G494" i="1"/>
  <c r="D496" i="1" l="1"/>
  <c r="C496" i="1" s="1"/>
  <c r="G496" i="1" s="1"/>
  <c r="E496" i="1"/>
  <c r="A497" i="1"/>
  <c r="E497" i="1" l="1"/>
  <c r="A498" i="1"/>
  <c r="D497" i="1"/>
  <c r="C497" i="1" s="1"/>
  <c r="G497" i="1" s="1"/>
  <c r="A499" i="1" l="1"/>
  <c r="E498" i="1"/>
  <c r="D498" i="1"/>
  <c r="C498" i="1" s="1"/>
  <c r="E499" i="1" l="1"/>
  <c r="D499" i="1"/>
  <c r="C499" i="1" s="1"/>
  <c r="A500" i="1"/>
  <c r="G498" i="1"/>
  <c r="D500" i="1" l="1"/>
  <c r="C500" i="1" s="1"/>
  <c r="A501" i="1"/>
  <c r="E500" i="1"/>
  <c r="G499" i="1"/>
  <c r="E501" i="1" l="1"/>
  <c r="D501" i="1"/>
  <c r="C501" i="1" s="1"/>
  <c r="A502" i="1"/>
  <c r="G500" i="1"/>
  <c r="E502" i="1" l="1"/>
  <c r="D502" i="1"/>
  <c r="C502" i="1" s="1"/>
  <c r="G502" i="1" s="1"/>
  <c r="A503" i="1"/>
  <c r="G501" i="1"/>
  <c r="A504" i="1" l="1"/>
  <c r="D503" i="1"/>
  <c r="C503" i="1" s="1"/>
  <c r="G503" i="1" s="1"/>
  <c r="E503" i="1"/>
  <c r="D504" i="1" l="1"/>
  <c r="C504" i="1" s="1"/>
  <c r="A505" i="1"/>
  <c r="E504" i="1"/>
  <c r="E505" i="1" l="1"/>
  <c r="D505" i="1"/>
  <c r="C505" i="1" s="1"/>
  <c r="G505" i="1" s="1"/>
  <c r="A506" i="1"/>
  <c r="G504" i="1"/>
  <c r="D506" i="1" l="1"/>
  <c r="C506" i="1" s="1"/>
  <c r="A507" i="1"/>
  <c r="E506" i="1"/>
  <c r="G506" i="1"/>
  <c r="E507" i="1" l="1"/>
  <c r="D507" i="1"/>
  <c r="C507" i="1" s="1"/>
  <c r="G507" i="1" s="1"/>
  <c r="A508" i="1"/>
  <c r="A509" i="1" l="1"/>
  <c r="D508" i="1"/>
  <c r="C508" i="1" s="1"/>
  <c r="E508" i="1"/>
  <c r="A510" i="1" l="1"/>
  <c r="D509" i="1"/>
  <c r="C509" i="1" s="1"/>
  <c r="G509" i="1" s="1"/>
  <c r="E509" i="1"/>
  <c r="G508" i="1"/>
  <c r="D510" i="1" l="1"/>
  <c r="C510" i="1" s="1"/>
  <c r="E510" i="1"/>
  <c r="A511" i="1"/>
  <c r="A512" i="1" l="1"/>
  <c r="D511" i="1"/>
  <c r="C511" i="1" s="1"/>
  <c r="G511" i="1" s="1"/>
  <c r="E511" i="1"/>
  <c r="G510" i="1"/>
  <c r="E512" i="1" l="1"/>
  <c r="D512" i="1"/>
  <c r="C512" i="1" s="1"/>
  <c r="A513" i="1"/>
  <c r="E513" i="1" l="1"/>
  <c r="D513" i="1"/>
  <c r="C513" i="1" s="1"/>
  <c r="G513" i="1" s="1"/>
  <c r="A514" i="1"/>
  <c r="G512" i="1"/>
  <c r="E514" i="1" l="1"/>
  <c r="D514" i="1"/>
  <c r="C514" i="1" s="1"/>
  <c r="A515" i="1"/>
  <c r="D515" i="1" l="1"/>
  <c r="C515" i="1" s="1"/>
  <c r="G515" i="1" s="1"/>
  <c r="E515" i="1"/>
  <c r="A516" i="1"/>
  <c r="G514" i="1"/>
  <c r="A517" i="1" l="1"/>
  <c r="E516" i="1"/>
  <c r="D516" i="1"/>
  <c r="C516" i="1" s="1"/>
  <c r="G516" i="1" l="1"/>
  <c r="D517" i="1"/>
  <c r="C517" i="1" s="1"/>
  <c r="A518" i="1"/>
  <c r="E517" i="1"/>
  <c r="A519" i="1" l="1"/>
  <c r="E518" i="1"/>
  <c r="D518" i="1"/>
  <c r="C518" i="1" s="1"/>
  <c r="G517" i="1"/>
  <c r="A520" i="1" l="1"/>
  <c r="E519" i="1"/>
  <c r="D519" i="1"/>
  <c r="C519" i="1" s="1"/>
  <c r="G518" i="1"/>
  <c r="E520" i="1" l="1"/>
  <c r="A521" i="1"/>
  <c r="D520" i="1"/>
  <c r="C520" i="1" s="1"/>
  <c r="G519" i="1"/>
  <c r="A522" i="1" l="1"/>
  <c r="D521" i="1"/>
  <c r="C521" i="1" s="1"/>
  <c r="E521" i="1"/>
  <c r="G520" i="1"/>
  <c r="A523" i="1" l="1"/>
  <c r="E522" i="1"/>
  <c r="D522" i="1"/>
  <c r="C522" i="1" s="1"/>
  <c r="G521" i="1"/>
  <c r="D523" i="1" l="1"/>
  <c r="C523" i="1" s="1"/>
  <c r="A524" i="1"/>
  <c r="E523" i="1"/>
  <c r="G522" i="1"/>
  <c r="G523" i="1" l="1"/>
  <c r="E524" i="1"/>
  <c r="A525" i="1"/>
  <c r="D524" i="1"/>
  <c r="C524" i="1" s="1"/>
  <c r="G524" i="1" s="1"/>
  <c r="A526" i="1" l="1"/>
  <c r="E525" i="1"/>
  <c r="D525" i="1"/>
  <c r="C525" i="1" s="1"/>
  <c r="A527" i="1" l="1"/>
  <c r="D526" i="1"/>
  <c r="C526" i="1" s="1"/>
  <c r="E526" i="1"/>
  <c r="G525" i="1"/>
  <c r="D527" i="1" l="1"/>
  <c r="C527" i="1" s="1"/>
  <c r="A528" i="1"/>
  <c r="E527" i="1"/>
  <c r="G526" i="1"/>
  <c r="E528" i="1" l="1"/>
  <c r="A529" i="1"/>
  <c r="D528" i="1"/>
  <c r="C528" i="1" s="1"/>
  <c r="G528" i="1" s="1"/>
  <c r="G527" i="1"/>
  <c r="A530" i="1" l="1"/>
  <c r="E529" i="1"/>
  <c r="D529" i="1"/>
  <c r="C529" i="1" s="1"/>
  <c r="E530" i="1" l="1"/>
  <c r="D530" i="1"/>
  <c r="C530" i="1" s="1"/>
  <c r="G530" i="1" s="1"/>
  <c r="C9" i="1" s="1"/>
  <c r="G529" i="1"/>
</calcChain>
</file>

<file path=xl/sharedStrings.xml><?xml version="1.0" encoding="utf-8"?>
<sst xmlns="http://schemas.openxmlformats.org/spreadsheetml/2006/main" count="53" uniqueCount="42">
  <si>
    <t>SIMULATION SETTINGS</t>
  </si>
  <si>
    <t>INPUTS</t>
  </si>
  <si>
    <t>UNITS / EXPECTED INPUTS</t>
  </si>
  <si>
    <t>Notes</t>
  </si>
  <si>
    <t>Description of this File</t>
  </si>
  <si>
    <t>510K years – with initial thickness</t>
  </si>
  <si>
    <t>This field is not read; it is for description of this run</t>
  </si>
  <si>
    <t>"Simulation starting year" is not used in the code, it is used to construct col F in this file</t>
  </si>
  <si>
    <t>Max Height (*5)</t>
  </si>
  <si>
    <t>N/A</t>
  </si>
  <si>
    <t>[m]</t>
  </si>
  <si>
    <t>Do not use Column G; and remember that the code is not using the "Unused Fields"</t>
  </si>
  <si>
    <t>Left X Limit (*5)</t>
  </si>
  <si>
    <t>If there is "ancient ice" the thickness for it has to be in column 0, in the thickness file</t>
  </si>
  <si>
    <t>Right X Limit (*5)</t>
  </si>
  <si>
    <t>Down Y Limit (*5)</t>
  </si>
  <si>
    <t>Up Y Limit (*5)</t>
  </si>
  <si>
    <t>Planet</t>
  </si>
  <si>
    <t>Mars</t>
  </si>
  <si>
    <t>Planet name: Earth, Mars. Pluto</t>
  </si>
  <si>
    <t>Materials Availalble in the Domain</t>
  </si>
  <si>
    <t>Col G is populated using Col C - and this cell is populated using Col G</t>
  </si>
  <si>
    <t>Min virtual layers in the model</t>
  </si>
  <si>
    <t>[layers]</t>
  </si>
  <si>
    <t>Simulation starting year</t>
  </si>
  <si>
    <t>[Thousands Yrs] ago: -600 means 600,000 yrs ago</t>
  </si>
  <si>
    <t>Min Resolution</t>
  </si>
  <si>
    <t>Max Resolution</t>
  </si>
  <si>
    <t xml:space="preserve">Domain Filename </t>
  </si>
  <si>
    <t>smalldomain.exp</t>
  </si>
  <si>
    <t>[include '.exp']</t>
  </si>
  <si>
    <t xml:space="preserve">Coordinates Filename </t>
  </si>
  <si>
    <t>coordinates.xlsx</t>
  </si>
  <si>
    <t>[include extension]</t>
  </si>
  <si>
    <t>Unused Fields</t>
  </si>
  <si>
    <t>Final Time 
[yr]</t>
  </si>
  <si>
    <t>Surface Temp
[K]</t>
  </si>
  <si>
    <t>IceType</t>
  </si>
  <si>
    <t>Informational Data (Input Files are used)</t>
  </si>
  <si>
    <t>H2O</t>
  </si>
  <si>
    <t>CO2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</si>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</sst>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rgb="FF000000"/>
      <name val="Calibri"/>
      <family val="2"/>
      <charset val="1"/>
    </font>
    <font>
      <b/>
      <sz val="10"/>
      <color rgb="FFFFFFFF"/>
      <name val="Arial"/>
      <family val="2"/>
      <charset val="1"/>
    </font>
    <font>
      <i/>
      <u/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9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C55A11"/>
      <name val="Arial"/>
      <family val="2"/>
      <charset val="1"/>
    </font>
    <font>
      <b/>
      <sz val="10"/>
      <color rgb="FFC55A11"/>
      <name val="Arial"/>
      <family val="2"/>
      <charset val="1"/>
    </font>
    <font>
      <sz val="9"/>
      <color rgb="FFC55A11"/>
      <name val="Arial"/>
      <family val="2"/>
      <charset val="1"/>
    </font>
    <font>
      <i/>
      <u/>
      <sz val="11"/>
      <name val="Calibri"/>
      <family val="2"/>
      <charset val="1"/>
    </font>
    <font>
      <b/>
      <sz val="9"/>
      <color rgb="FF000000"/>
      <name val="Arial"/>
      <family val="2"/>
      <charset val="1"/>
    </font>
    <font>
      <sz val="11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00"/>
      <name val="DejaVu Sans"/>
      <family val="2"/>
      <charset val="1"/>
    </font>
    <font>
      <sz val="12"/>
      <color rgb="FF9C57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EB9C"/>
        <bgColor rgb="FFFBE5D6"/>
      </patternFill>
    </fill>
    <fill>
      <patternFill patternType="solid">
        <fgColor rgb="FFED7D31"/>
        <bgColor rgb="FFFF8080"/>
      </patternFill>
    </fill>
    <fill>
      <patternFill patternType="solid">
        <fgColor rgb="FFFBE5D6"/>
        <bgColor rgb="FFFFEB9C"/>
      </patternFill>
    </fill>
    <fill>
      <patternFill patternType="solid">
        <fgColor rgb="FF009353"/>
        <bgColor rgb="FF008080"/>
      </patternFill>
    </fill>
    <fill>
      <patternFill patternType="solid">
        <fgColor rgb="FF70AD47"/>
        <bgColor rgb="FF339966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rgb="FFED7D3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rgb="FFED7D31"/>
      </bottom>
      <diagonal/>
    </border>
    <border>
      <left style="thin">
        <color auto="1"/>
      </left>
      <right/>
      <top style="thin">
        <color rgb="FFF4B183"/>
      </top>
      <bottom/>
      <diagonal/>
    </border>
    <border>
      <left/>
      <right/>
      <top style="thin">
        <color rgb="FFF4B183"/>
      </top>
      <bottom/>
      <diagonal/>
    </border>
    <border>
      <left/>
      <right style="thin">
        <color auto="1"/>
      </right>
      <top style="thin">
        <color rgb="FFF4B183"/>
      </top>
      <bottom/>
      <diagonal/>
    </border>
    <border>
      <left/>
      <right style="thin">
        <color auto="1"/>
      </right>
      <top style="thin">
        <color rgb="FFF4B183"/>
      </top>
      <bottom style="thin">
        <color rgb="FFF4B183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rgb="FFF4B183"/>
      </top>
      <bottom style="thin">
        <color auto="1"/>
      </bottom>
      <diagonal/>
    </border>
    <border>
      <left/>
      <right/>
      <top style="thin">
        <color rgb="FFF4B183"/>
      </top>
      <bottom style="thin">
        <color auto="1"/>
      </bottom>
      <diagonal/>
    </border>
    <border>
      <left/>
      <right style="thin">
        <color auto="1"/>
      </right>
      <top style="thin">
        <color rgb="FFF4B183"/>
      </top>
      <bottom style="thin">
        <color auto="1"/>
      </bottom>
      <diagonal/>
    </border>
    <border>
      <left/>
      <right/>
      <top style="thin">
        <color rgb="FF009353"/>
      </top>
      <bottom/>
      <diagonal/>
    </border>
    <border>
      <left/>
      <right style="thin">
        <color rgb="FF009353"/>
      </right>
      <top style="thin">
        <color rgb="FF009353"/>
      </top>
      <bottom/>
      <diagonal/>
    </border>
    <border>
      <left style="thin">
        <color rgb="FF009353"/>
      </left>
      <right/>
      <top/>
      <bottom/>
      <diagonal/>
    </border>
  </borders>
  <cellStyleXfs count="3">
    <xf numFmtId="0" fontId="0" fillId="0" borderId="0"/>
    <xf numFmtId="0" fontId="12" fillId="0" borderId="0" applyBorder="0" applyProtection="0"/>
    <xf numFmtId="0" fontId="15" fillId="2" borderId="0" applyBorder="0" applyProtection="0"/>
  </cellStyleXfs>
  <cellXfs count="61">
    <xf numFmtId="0" fontId="0" fillId="0" borderId="0" xfId="0"/>
    <xf numFmtId="0" fontId="15" fillId="2" borderId="14" xfId="2" applyBorder="1" applyAlignment="1" applyProtection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top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49" fontId="1" fillId="3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0" borderId="2" xfId="0" applyFont="1" applyBorder="1"/>
    <xf numFmtId="49" fontId="5" fillId="0" borderId="4" xfId="0" applyNumberFormat="1" applyFont="1" applyBorder="1"/>
    <xf numFmtId="0" fontId="6" fillId="0" borderId="5" xfId="0" applyFont="1" applyBorder="1"/>
    <xf numFmtId="0" fontId="7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4" fillId="0" borderId="0" xfId="0" applyFont="1" applyAlignment="1">
      <alignment wrapText="1"/>
    </xf>
    <xf numFmtId="0" fontId="4" fillId="0" borderId="0" xfId="0" applyFont="1"/>
    <xf numFmtId="0" fontId="7" fillId="0" borderId="5" xfId="0" applyFont="1" applyBorder="1" applyAlignment="1">
      <alignment horizontal="center"/>
    </xf>
    <xf numFmtId="0" fontId="9" fillId="0" borderId="0" xfId="0" applyFont="1" applyAlignment="1">
      <alignment horizontal="left" vertical="top"/>
    </xf>
    <xf numFmtId="49" fontId="10" fillId="4" borderId="4" xfId="0" applyNumberFormat="1" applyFont="1" applyFill="1" applyBorder="1"/>
    <xf numFmtId="0" fontId="6" fillId="4" borderId="5" xfId="0" applyFont="1" applyFill="1" applyBorder="1"/>
    <xf numFmtId="0" fontId="7" fillId="4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11" fillId="0" borderId="0" xfId="0" applyFont="1" applyAlignment="1">
      <alignment horizontal="left" vertical="top"/>
    </xf>
    <xf numFmtId="49" fontId="10" fillId="0" borderId="4" xfId="0" applyNumberFormat="1" applyFont="1" applyBorder="1"/>
    <xf numFmtId="49" fontId="10" fillId="0" borderId="4" xfId="0" applyNumberFormat="1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7" fillId="4" borderId="5" xfId="0" applyFont="1" applyFill="1" applyBorder="1" applyAlignment="1">
      <alignment horizontal="left"/>
    </xf>
    <xf numFmtId="0" fontId="7" fillId="0" borderId="5" xfId="0" applyFont="1" applyBorder="1" applyAlignment="1">
      <alignment horizontal="left"/>
    </xf>
    <xf numFmtId="0" fontId="4" fillId="0" borderId="8" xfId="0" applyFont="1" applyBorder="1" applyAlignment="1">
      <alignment horizontal="left" vertical="top"/>
    </xf>
    <xf numFmtId="49" fontId="5" fillId="4" borderId="9" xfId="0" applyNumberFormat="1" applyFont="1" applyFill="1" applyBorder="1"/>
    <xf numFmtId="0" fontId="6" fillId="4" borderId="10" xfId="0" applyFont="1" applyFill="1" applyBorder="1"/>
    <xf numFmtId="0" fontId="7" fillId="4" borderId="10" xfId="0" applyFont="1" applyFill="1" applyBorder="1" applyAlignment="1">
      <alignment horizontal="left"/>
    </xf>
    <xf numFmtId="0" fontId="8" fillId="4" borderId="10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/>
    </xf>
    <xf numFmtId="0" fontId="6" fillId="4" borderId="11" xfId="0" applyFont="1" applyFill="1" applyBorder="1" applyAlignment="1">
      <alignment horizontal="left"/>
    </xf>
    <xf numFmtId="0" fontId="12" fillId="0" borderId="0" xfId="1" applyBorder="1" applyAlignment="1" applyProtection="1">
      <alignment wrapText="1"/>
    </xf>
    <xf numFmtId="0" fontId="13" fillId="0" borderId="0" xfId="0" applyFont="1"/>
    <xf numFmtId="0" fontId="13" fillId="0" borderId="0" xfId="0" applyFont="1" applyAlignment="1">
      <alignment horizontal="center"/>
    </xf>
    <xf numFmtId="11" fontId="16" fillId="0" borderId="0" xfId="0" applyNumberFormat="1" applyFont="1" applyAlignment="1">
      <alignment vertical="top"/>
    </xf>
    <xf numFmtId="11" fontId="16" fillId="0" borderId="0" xfId="0" applyNumberFormat="1" applyFont="1" applyAlignment="1">
      <alignment wrapText="1"/>
    </xf>
    <xf numFmtId="11" fontId="16" fillId="0" borderId="0" xfId="0" applyNumberFormat="1" applyFont="1"/>
    <xf numFmtId="0" fontId="0" fillId="0" borderId="0" xfId="0" applyAlignment="1">
      <alignment horizontal="center" vertical="center" wrapText="1"/>
    </xf>
    <xf numFmtId="0" fontId="15" fillId="2" borderId="0" xfId="2" applyBorder="1" applyAlignment="1" applyProtection="1">
      <alignment horizontal="center" vertical="center" wrapText="1"/>
    </xf>
    <xf numFmtId="11" fontId="15" fillId="2" borderId="0" xfId="2" applyNumberFormat="1" applyBorder="1" applyAlignment="1" applyProtection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11" fontId="0" fillId="0" borderId="0" xfId="0" applyNumberFormat="1"/>
    <xf numFmtId="2" fontId="16" fillId="6" borderId="0" xfId="0" applyNumberFormat="1" applyFont="1" applyFill="1" applyAlignment="1">
      <alignment horizontal="right"/>
    </xf>
    <xf numFmtId="2" fontId="16" fillId="0" borderId="0" xfId="0" applyNumberFormat="1" applyFont="1" applyAlignment="1">
      <alignment horizontal="right" vertical="top"/>
    </xf>
    <xf numFmtId="11" fontId="0" fillId="0" borderId="0" xfId="0" applyNumberFormat="1" applyAlignment="1">
      <alignment wrapText="1"/>
    </xf>
    <xf numFmtId="2" fontId="16" fillId="0" borderId="0" xfId="0" applyNumberFormat="1" applyFont="1" applyAlignment="1">
      <alignment horizontal="right" wrapText="1"/>
    </xf>
    <xf numFmtId="11" fontId="0" fillId="7" borderId="0" xfId="0" applyNumberFormat="1" applyFill="1"/>
  </cellXfs>
  <cellStyles count="3">
    <cellStyle name="Excel Built-in Explanatory Text" xfId="2" xr:uid="{00000000-0005-0000-0000-000007000000}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353"/>
      <rgbColor rgb="FFC0C0C0"/>
      <rgbColor rgb="FF808080"/>
      <rgbColor rgb="FF9999FF"/>
      <rgbColor rgb="FFC55A11"/>
      <rgbColor rgb="FFFBE5D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0"/>
  <sheetViews>
    <sheetView topLeftCell="A289" zoomScale="170" zoomScaleNormal="170" workbookViewId="0">
      <selection activeCell="D198" sqref="D198"/>
    </sheetView>
  </sheetViews>
  <sheetFormatPr baseColWidth="10" defaultColWidth="8.6640625" defaultRowHeight="15"/>
  <cols>
    <col min="1" max="2" width="13.1640625" customWidth="1"/>
    <col min="3" max="3" width="20.33203125" customWidth="1"/>
    <col min="4" max="4" width="18.1640625" customWidth="1"/>
    <col min="5" max="5" width="10.5" customWidth="1"/>
    <col min="6" max="6" width="7.1640625" customWidth="1"/>
    <col min="7" max="7" width="4.6640625" style="8" customWidth="1"/>
    <col min="8" max="8" width="59.1640625" style="9" customWidth="1"/>
    <col min="9" max="9" width="4.83203125" customWidth="1"/>
    <col min="1015" max="1024" width="9.1640625" customWidth="1"/>
  </cols>
  <sheetData>
    <row r="1" spans="1:9" ht="23" customHeight="1">
      <c r="A1" s="7" t="s">
        <v>0</v>
      </c>
      <c r="B1" s="7"/>
      <c r="C1" s="10" t="s">
        <v>1</v>
      </c>
      <c r="D1" s="6" t="s">
        <v>2</v>
      </c>
      <c r="E1" s="6"/>
      <c r="F1" s="6"/>
      <c r="G1" s="11"/>
      <c r="H1" s="12" t="s">
        <v>3</v>
      </c>
      <c r="I1" s="13"/>
    </row>
    <row r="2" spans="1:9" ht="29">
      <c r="A2" s="14" t="s">
        <v>4</v>
      </c>
      <c r="B2" s="15"/>
      <c r="C2" s="16" t="s">
        <v>5</v>
      </c>
      <c r="D2" s="17" t="s">
        <v>6</v>
      </c>
      <c r="E2" s="18"/>
      <c r="F2" s="19"/>
      <c r="H2" s="20" t="s">
        <v>7</v>
      </c>
      <c r="I2" s="21"/>
    </row>
    <row r="3" spans="1:9">
      <c r="A3" s="14" t="s">
        <v>8</v>
      </c>
      <c r="B3" s="15"/>
      <c r="C3" s="22" t="s">
        <v>9</v>
      </c>
      <c r="D3" s="17" t="s">
        <v>10</v>
      </c>
      <c r="E3" s="18"/>
      <c r="F3" s="19"/>
      <c r="G3" s="23"/>
      <c r="H3" s="20" t="s">
        <v>11</v>
      </c>
      <c r="I3" s="21"/>
    </row>
    <row r="4" spans="1:9">
      <c r="A4" s="24" t="s">
        <v>12</v>
      </c>
      <c r="B4" s="25"/>
      <c r="C4" s="26" t="s">
        <v>9</v>
      </c>
      <c r="D4" s="27" t="s">
        <v>10</v>
      </c>
      <c r="E4" s="28"/>
      <c r="F4" s="29"/>
      <c r="G4" s="30"/>
      <c r="H4" s="20" t="s">
        <v>13</v>
      </c>
      <c r="I4" s="21"/>
    </row>
    <row r="5" spans="1:9">
      <c r="A5" s="31" t="s">
        <v>14</v>
      </c>
      <c r="B5" s="15"/>
      <c r="C5" s="22" t="s">
        <v>9</v>
      </c>
      <c r="D5" s="17" t="s">
        <v>10</v>
      </c>
      <c r="E5" s="18"/>
      <c r="F5" s="19"/>
      <c r="G5" s="30"/>
      <c r="H5" s="20"/>
      <c r="I5" s="21"/>
    </row>
    <row r="6" spans="1:9">
      <c r="A6" s="24" t="s">
        <v>15</v>
      </c>
      <c r="B6" s="25"/>
      <c r="C6" s="26" t="s">
        <v>9</v>
      </c>
      <c r="D6" s="27" t="s">
        <v>10</v>
      </c>
      <c r="E6" s="28"/>
      <c r="F6" s="29"/>
      <c r="G6" s="23"/>
      <c r="H6" s="20"/>
      <c r="I6" s="21"/>
    </row>
    <row r="7" spans="1:9">
      <c r="A7" s="31" t="s">
        <v>16</v>
      </c>
      <c r="B7" s="15"/>
      <c r="C7" s="22" t="s">
        <v>9</v>
      </c>
      <c r="D7" s="17" t="s">
        <v>10</v>
      </c>
      <c r="E7" s="18"/>
      <c r="F7" s="19"/>
      <c r="G7" s="30"/>
      <c r="H7" s="20"/>
      <c r="I7" s="21"/>
    </row>
    <row r="8" spans="1:9">
      <c r="A8" s="31" t="s">
        <v>17</v>
      </c>
      <c r="B8" s="15"/>
      <c r="C8" s="22" t="s">
        <v>18</v>
      </c>
      <c r="D8" s="17" t="s">
        <v>19</v>
      </c>
      <c r="E8" s="18"/>
      <c r="F8" s="19"/>
      <c r="G8" s="30"/>
      <c r="H8" s="20"/>
      <c r="I8" s="21"/>
    </row>
    <row r="9" spans="1:9" ht="28" customHeight="1">
      <c r="A9" s="32" t="s">
        <v>20</v>
      </c>
      <c r="B9" s="15"/>
      <c r="C9" s="16" t="str">
        <f>_xlfn.TEXTJOIN(",",1,G:G)</f>
        <v>CO2,CO2,H2O,CO2,H2O,CO2,H2O,CO2,H2O,CO2,H2O,CO2</v>
      </c>
      <c r="D9" s="5" t="s">
        <v>21</v>
      </c>
      <c r="E9" s="5"/>
      <c r="F9" s="5"/>
      <c r="G9" s="30"/>
      <c r="H9" s="20"/>
      <c r="I9" s="21"/>
    </row>
    <row r="10" spans="1:9">
      <c r="A10" s="24" t="s">
        <v>22</v>
      </c>
      <c r="B10" s="25"/>
      <c r="C10" s="26">
        <v>5</v>
      </c>
      <c r="D10" s="27" t="s">
        <v>23</v>
      </c>
      <c r="E10" s="28"/>
      <c r="F10" s="29"/>
      <c r="G10" s="23"/>
      <c r="H10" s="20"/>
      <c r="I10" s="21"/>
    </row>
    <row r="11" spans="1:9">
      <c r="A11" s="31" t="s">
        <v>24</v>
      </c>
      <c r="B11" s="15"/>
      <c r="C11" s="22">
        <v>-510</v>
      </c>
      <c r="D11" s="17" t="s">
        <v>25</v>
      </c>
      <c r="E11" s="18"/>
      <c r="F11" s="19"/>
      <c r="G11" s="33"/>
      <c r="H11" s="20"/>
      <c r="I11" s="21"/>
    </row>
    <row r="12" spans="1:9">
      <c r="A12" s="24" t="s">
        <v>26</v>
      </c>
      <c r="B12" s="25"/>
      <c r="C12" s="26">
        <v>3500</v>
      </c>
      <c r="D12" s="27" t="s">
        <v>10</v>
      </c>
      <c r="E12" s="28"/>
      <c r="F12" s="29"/>
      <c r="G12" s="23"/>
      <c r="H12" s="20"/>
      <c r="I12" s="21"/>
    </row>
    <row r="13" spans="1:9">
      <c r="A13" s="31" t="s">
        <v>27</v>
      </c>
      <c r="B13" s="15"/>
      <c r="C13" s="22">
        <v>4000</v>
      </c>
      <c r="D13" s="17" t="s">
        <v>10</v>
      </c>
      <c r="E13" s="18"/>
      <c r="F13" s="19"/>
      <c r="G13" s="33"/>
      <c r="H13" s="20"/>
      <c r="I13" s="21"/>
    </row>
    <row r="14" spans="1:9">
      <c r="A14" s="24" t="s">
        <v>28</v>
      </c>
      <c r="B14" s="25"/>
      <c r="C14" s="34" t="s">
        <v>29</v>
      </c>
      <c r="D14" s="27" t="s">
        <v>30</v>
      </c>
      <c r="E14" s="28"/>
      <c r="F14" s="29"/>
      <c r="G14" s="23"/>
      <c r="H14" s="20"/>
      <c r="I14" s="21"/>
    </row>
    <row r="15" spans="1:9">
      <c r="A15" s="31" t="s">
        <v>31</v>
      </c>
      <c r="B15" s="15"/>
      <c r="C15" s="35" t="s">
        <v>32</v>
      </c>
      <c r="D15" s="17" t="s">
        <v>33</v>
      </c>
      <c r="E15" s="18"/>
      <c r="F15" s="19"/>
      <c r="G15" s="36"/>
      <c r="H15" s="20"/>
      <c r="I15" s="21"/>
    </row>
    <row r="16" spans="1:9">
      <c r="A16" s="37"/>
      <c r="B16" s="38"/>
      <c r="C16" s="39"/>
      <c r="D16" s="40"/>
      <c r="E16" s="41"/>
      <c r="F16" s="42"/>
      <c r="G16" s="36"/>
      <c r="H16" s="43"/>
      <c r="I16" s="21"/>
    </row>
    <row r="17" spans="1:9">
      <c r="A17" s="44">
        <v>1</v>
      </c>
      <c r="B17" s="44">
        <v>2</v>
      </c>
      <c r="C17" s="45">
        <v>3</v>
      </c>
      <c r="D17" s="4" t="s">
        <v>34</v>
      </c>
      <c r="E17" s="4"/>
      <c r="F17" s="4"/>
      <c r="G17" s="33"/>
      <c r="H17" s="20"/>
      <c r="I17" s="21"/>
    </row>
    <row r="18" spans="1:9" s="49" customFormat="1" ht="13.75" customHeight="1">
      <c r="A18" s="3" t="s">
        <v>35</v>
      </c>
      <c r="B18" s="3" t="s">
        <v>36</v>
      </c>
      <c r="C18" s="2" t="s">
        <v>37</v>
      </c>
      <c r="D18" s="1" t="s">
        <v>38</v>
      </c>
      <c r="E18" s="1"/>
      <c r="F18" s="1"/>
      <c r="G18" s="46"/>
      <c r="H18" s="47"/>
      <c r="I18" s="48"/>
    </row>
    <row r="19" spans="1:9" s="49" customFormat="1" ht="23" customHeight="1">
      <c r="A19" s="3"/>
      <c r="B19" s="3"/>
      <c r="C19" s="2"/>
      <c r="D19" s="50" t="s">
        <v>39</v>
      </c>
      <c r="E19" s="51" t="s">
        <v>40</v>
      </c>
      <c r="F19" s="51" t="s">
        <v>41</v>
      </c>
      <c r="G19" s="46"/>
      <c r="H19" s="47"/>
      <c r="I19" s="48"/>
    </row>
    <row r="20" spans="1:9">
      <c r="A20" s="52">
        <v>0</v>
      </c>
      <c r="B20" s="53">
        <v>150</v>
      </c>
      <c r="C20" s="54" t="str">
        <f t="shared" ref="C20:C83" si="0">IF(D20=0, "CO2", "H2O")</f>
        <v>H2O</v>
      </c>
      <c r="D20" s="55">
        <f>IFERROR( HLOOKUP(A20,H2O_thicknesses!$1:$2,2, 0),0)</f>
        <v>0.196603206077788</v>
      </c>
      <c r="E20" s="55">
        <f>IFERROR( HLOOKUP(A20,CO2_thicknesses!$1:$2,2),0)</f>
        <v>0</v>
      </c>
      <c r="F20" s="56">
        <f>C11</f>
        <v>-510</v>
      </c>
      <c r="G20" s="57" t="s">
        <v>40</v>
      </c>
      <c r="H20" s="58"/>
    </row>
    <row r="21" spans="1:9">
      <c r="A21" s="52">
        <f t="shared" ref="A21:A84" si="1">A20+1000</f>
        <v>1000</v>
      </c>
      <c r="B21" s="53">
        <f t="shared" ref="B21:B84" si="2">B20</f>
        <v>150</v>
      </c>
      <c r="C21" s="54" t="str">
        <f t="shared" si="0"/>
        <v>H2O</v>
      </c>
      <c r="D21" s="55">
        <f>IFERROR( HLOOKUP(A21,H2O_thicknesses!$1:$2,2, 0),0)</f>
        <v>0.19623957189729499</v>
      </c>
      <c r="E21" s="55">
        <f>IFERROR( HLOOKUP(A21,CO2_thicknesses!$1:$2,2),0)</f>
        <v>0</v>
      </c>
      <c r="F21" s="56">
        <f t="shared" ref="F21:F84" si="3">F20+1</f>
        <v>-509</v>
      </c>
      <c r="G21" s="57" t="str">
        <f t="shared" ref="G21:G84" si="4">IF(C20&lt;&gt;C21,C21,"")</f>
        <v/>
      </c>
      <c r="H21" s="58"/>
    </row>
    <row r="22" spans="1:9">
      <c r="A22" s="52">
        <f t="shared" si="1"/>
        <v>2000</v>
      </c>
      <c r="B22" s="53">
        <f t="shared" si="2"/>
        <v>150</v>
      </c>
      <c r="C22" s="54" t="str">
        <f t="shared" si="0"/>
        <v>H2O</v>
      </c>
      <c r="D22" s="55">
        <f>IFERROR( HLOOKUP(A22,H2O_thicknesses!$1:$2,2, 0),0)</f>
        <v>0.19892165487566699</v>
      </c>
      <c r="E22" s="55">
        <f>IFERROR( HLOOKUP(A22,CO2_thicknesses!$1:$2,2),0)</f>
        <v>0</v>
      </c>
      <c r="F22" s="56">
        <f t="shared" si="3"/>
        <v>-508</v>
      </c>
      <c r="G22" s="57" t="str">
        <f t="shared" si="4"/>
        <v/>
      </c>
      <c r="H22" s="58"/>
    </row>
    <row r="23" spans="1:9">
      <c r="A23" s="52">
        <f t="shared" si="1"/>
        <v>3000</v>
      </c>
      <c r="B23" s="53">
        <f t="shared" si="2"/>
        <v>150</v>
      </c>
      <c r="C23" s="54" t="str">
        <f t="shared" si="0"/>
        <v>H2O</v>
      </c>
      <c r="D23" s="55">
        <f>IFERROR( HLOOKUP(A23,H2O_thicknesses!$1:$2,2, 0),0)</f>
        <v>0.19567030665967799</v>
      </c>
      <c r="E23" s="55">
        <f>IFERROR( HLOOKUP(A23,CO2_thicknesses!$1:$2,2),0)</f>
        <v>0</v>
      </c>
      <c r="F23" s="56">
        <f t="shared" si="3"/>
        <v>-507</v>
      </c>
      <c r="G23" s="57" t="str">
        <f t="shared" si="4"/>
        <v/>
      </c>
      <c r="H23" s="58"/>
    </row>
    <row r="24" spans="1:9">
      <c r="A24" s="52">
        <f t="shared" si="1"/>
        <v>4000</v>
      </c>
      <c r="B24" s="53">
        <f t="shared" si="2"/>
        <v>150</v>
      </c>
      <c r="C24" s="54" t="str">
        <f t="shared" si="0"/>
        <v>H2O</v>
      </c>
      <c r="D24" s="55">
        <f>IFERROR( HLOOKUP(A24,H2O_thicknesses!$1:$2,2, 0),0)</f>
        <v>0.193365610481216</v>
      </c>
      <c r="E24" s="55">
        <f>IFERROR( HLOOKUP(A24,CO2_thicknesses!$1:$2,2),0)</f>
        <v>0</v>
      </c>
      <c r="F24" s="56">
        <f t="shared" si="3"/>
        <v>-506</v>
      </c>
      <c r="G24" s="57" t="str">
        <f t="shared" si="4"/>
        <v/>
      </c>
      <c r="H24" s="58"/>
    </row>
    <row r="25" spans="1:9">
      <c r="A25" s="52">
        <f t="shared" si="1"/>
        <v>5000</v>
      </c>
      <c r="B25" s="53">
        <f t="shared" si="2"/>
        <v>150</v>
      </c>
      <c r="C25" s="54" t="str">
        <f t="shared" si="0"/>
        <v>H2O</v>
      </c>
      <c r="D25" s="55">
        <f>IFERROR( HLOOKUP(A25,H2O_thicknesses!$1:$2,2, 0),0)</f>
        <v>0.19135864647075199</v>
      </c>
      <c r="E25" s="55">
        <f>IFERROR( HLOOKUP(A25,CO2_thicknesses!$1:$2,2),0)</f>
        <v>0</v>
      </c>
      <c r="F25" s="56">
        <f t="shared" si="3"/>
        <v>-505</v>
      </c>
      <c r="G25" s="57" t="str">
        <f t="shared" si="4"/>
        <v/>
      </c>
      <c r="H25" s="58"/>
    </row>
    <row r="26" spans="1:9">
      <c r="A26" s="52">
        <f t="shared" si="1"/>
        <v>6000</v>
      </c>
      <c r="B26" s="53">
        <f t="shared" si="2"/>
        <v>150</v>
      </c>
      <c r="C26" s="54" t="str">
        <f t="shared" si="0"/>
        <v>H2O</v>
      </c>
      <c r="D26" s="55">
        <f>IFERROR( HLOOKUP(A26,H2O_thicknesses!$1:$2,2, 0),0)</f>
        <v>0.19765020850704201</v>
      </c>
      <c r="E26" s="55">
        <f>IFERROR( HLOOKUP(A26,CO2_thicknesses!$1:$2,2),0)</f>
        <v>0</v>
      </c>
      <c r="F26" s="56">
        <f t="shared" si="3"/>
        <v>-504</v>
      </c>
      <c r="G26" s="57" t="str">
        <f t="shared" si="4"/>
        <v/>
      </c>
      <c r="H26" s="58"/>
    </row>
    <row r="27" spans="1:9">
      <c r="A27" s="52">
        <f t="shared" si="1"/>
        <v>7000</v>
      </c>
      <c r="B27" s="53">
        <f t="shared" si="2"/>
        <v>150</v>
      </c>
      <c r="C27" s="54" t="str">
        <f t="shared" si="0"/>
        <v>H2O</v>
      </c>
      <c r="D27" s="55">
        <f>IFERROR( HLOOKUP(A27,H2O_thicknesses!$1:$2,2, 0),0)</f>
        <v>0.193456449416163</v>
      </c>
      <c r="E27" s="55">
        <f>IFERROR( HLOOKUP(A27,CO2_thicknesses!$1:$2,2),0)</f>
        <v>0</v>
      </c>
      <c r="F27" s="56">
        <f t="shared" si="3"/>
        <v>-503</v>
      </c>
      <c r="G27" s="57" t="str">
        <f t="shared" si="4"/>
        <v/>
      </c>
      <c r="H27" s="58"/>
    </row>
    <row r="28" spans="1:9">
      <c r="A28" s="52">
        <f t="shared" si="1"/>
        <v>8000</v>
      </c>
      <c r="B28" s="53">
        <f t="shared" si="2"/>
        <v>150</v>
      </c>
      <c r="C28" s="54" t="str">
        <f t="shared" si="0"/>
        <v>H2O</v>
      </c>
      <c r="D28" s="55">
        <f>IFERROR( HLOOKUP(A28,H2O_thicknesses!$1:$2,2, 0),0)</f>
        <v>0.19135207916107599</v>
      </c>
      <c r="E28" s="55">
        <f>IFERROR( HLOOKUP(A28,CO2_thicknesses!$1:$2,2),0)</f>
        <v>0</v>
      </c>
      <c r="F28" s="56">
        <f t="shared" si="3"/>
        <v>-502</v>
      </c>
      <c r="G28" s="57" t="str">
        <f t="shared" si="4"/>
        <v/>
      </c>
      <c r="H28" s="58"/>
    </row>
    <row r="29" spans="1:9">
      <c r="A29" s="52">
        <f t="shared" si="1"/>
        <v>9000</v>
      </c>
      <c r="B29" s="53">
        <f t="shared" si="2"/>
        <v>150</v>
      </c>
      <c r="C29" s="54" t="str">
        <f t="shared" si="0"/>
        <v>H2O</v>
      </c>
      <c r="D29" s="55">
        <f>IFERROR( HLOOKUP(A29,H2O_thicknesses!$1:$2,2, 0),0)</f>
        <v>0.19006790560078099</v>
      </c>
      <c r="E29" s="55">
        <f>IFERROR( HLOOKUP(A29,CO2_thicknesses!$1:$2,2),0)</f>
        <v>0</v>
      </c>
      <c r="F29" s="56">
        <f t="shared" si="3"/>
        <v>-501</v>
      </c>
      <c r="G29" s="57" t="str">
        <f t="shared" si="4"/>
        <v/>
      </c>
      <c r="H29" s="58"/>
    </row>
    <row r="30" spans="1:9">
      <c r="A30" s="52">
        <f t="shared" si="1"/>
        <v>10000</v>
      </c>
      <c r="B30" s="53">
        <f t="shared" si="2"/>
        <v>150</v>
      </c>
      <c r="C30" s="54" t="str">
        <f t="shared" si="0"/>
        <v>H2O</v>
      </c>
      <c r="D30" s="55">
        <f>IFERROR( HLOOKUP(A30,H2O_thicknesses!$1:$2,2, 0),0)</f>
        <v>0.19156339142266299</v>
      </c>
      <c r="E30" s="55">
        <f>IFERROR( HLOOKUP(A30,CO2_thicknesses!$1:$2,2),0)</f>
        <v>0</v>
      </c>
      <c r="F30" s="56">
        <f t="shared" si="3"/>
        <v>-500</v>
      </c>
      <c r="G30" s="57" t="str">
        <f t="shared" si="4"/>
        <v/>
      </c>
      <c r="H30" s="58"/>
    </row>
    <row r="31" spans="1:9">
      <c r="A31" s="52">
        <f t="shared" si="1"/>
        <v>11000</v>
      </c>
      <c r="B31" s="53">
        <f t="shared" si="2"/>
        <v>150</v>
      </c>
      <c r="C31" s="54" t="str">
        <f t="shared" si="0"/>
        <v>H2O</v>
      </c>
      <c r="D31" s="55">
        <f>IFERROR( HLOOKUP(A31,H2O_thicknesses!$1:$2,2, 0),0)</f>
        <v>0.19398240464045499</v>
      </c>
      <c r="E31" s="55">
        <f>IFERROR( HLOOKUP(A31,CO2_thicknesses!$1:$2,2),0)</f>
        <v>0</v>
      </c>
      <c r="F31" s="56">
        <f t="shared" si="3"/>
        <v>-499</v>
      </c>
      <c r="G31" s="57" t="str">
        <f t="shared" si="4"/>
        <v/>
      </c>
      <c r="H31" s="58"/>
    </row>
    <row r="32" spans="1:9">
      <c r="A32" s="52">
        <f t="shared" si="1"/>
        <v>12000</v>
      </c>
      <c r="B32" s="53">
        <f t="shared" si="2"/>
        <v>150</v>
      </c>
      <c r="C32" s="54" t="str">
        <f t="shared" si="0"/>
        <v>H2O</v>
      </c>
      <c r="D32" s="55">
        <f>IFERROR( HLOOKUP(A32,H2O_thicknesses!$1:$2,2, 0),0)</f>
        <v>0.19294043873380201</v>
      </c>
      <c r="E32" s="55">
        <f>IFERROR( HLOOKUP(A32,CO2_thicknesses!$1:$2,2),0)</f>
        <v>0</v>
      </c>
      <c r="F32" s="56">
        <f t="shared" si="3"/>
        <v>-498</v>
      </c>
      <c r="G32" s="57" t="str">
        <f t="shared" si="4"/>
        <v/>
      </c>
      <c r="H32" s="58"/>
    </row>
    <row r="33" spans="1:8">
      <c r="A33" s="52">
        <f t="shared" si="1"/>
        <v>13000</v>
      </c>
      <c r="B33" s="53">
        <f t="shared" si="2"/>
        <v>150</v>
      </c>
      <c r="C33" s="54" t="str">
        <f t="shared" si="0"/>
        <v>H2O</v>
      </c>
      <c r="D33" s="55">
        <f>IFERROR( HLOOKUP(A33,H2O_thicknesses!$1:$2,2, 0),0)</f>
        <v>0.19124399550385501</v>
      </c>
      <c r="E33" s="55">
        <f>IFERROR( HLOOKUP(A33,CO2_thicknesses!$1:$2,2),0)</f>
        <v>0</v>
      </c>
      <c r="F33" s="56">
        <f t="shared" si="3"/>
        <v>-497</v>
      </c>
      <c r="G33" s="57" t="str">
        <f t="shared" si="4"/>
        <v/>
      </c>
      <c r="H33" s="58"/>
    </row>
    <row r="34" spans="1:8">
      <c r="A34" s="52">
        <f t="shared" si="1"/>
        <v>14000</v>
      </c>
      <c r="B34" s="53">
        <f t="shared" si="2"/>
        <v>150</v>
      </c>
      <c r="C34" s="54" t="str">
        <f t="shared" si="0"/>
        <v>H2O</v>
      </c>
      <c r="D34" s="55">
        <f>IFERROR( HLOOKUP(A34,H2O_thicknesses!$1:$2,2, 0),0)</f>
        <v>0.18957364824942</v>
      </c>
      <c r="E34" s="55">
        <f>IFERROR( HLOOKUP(A34,CO2_thicknesses!$1:$2,2),0)</f>
        <v>0</v>
      </c>
      <c r="F34" s="56">
        <f t="shared" si="3"/>
        <v>-496</v>
      </c>
      <c r="G34" s="57" t="str">
        <f t="shared" si="4"/>
        <v/>
      </c>
      <c r="H34" s="58"/>
    </row>
    <row r="35" spans="1:8">
      <c r="A35" s="52">
        <f t="shared" si="1"/>
        <v>15000</v>
      </c>
      <c r="B35" s="53">
        <f t="shared" si="2"/>
        <v>150</v>
      </c>
      <c r="C35" s="54" t="str">
        <f t="shared" si="0"/>
        <v>H2O</v>
      </c>
      <c r="D35" s="55">
        <f>IFERROR( HLOOKUP(A35,H2O_thicknesses!$1:$2,2, 0),0)</f>
        <v>0.18407624101119699</v>
      </c>
      <c r="E35" s="55">
        <f>IFERROR( HLOOKUP(A35,CO2_thicknesses!$1:$2,2),0)</f>
        <v>0</v>
      </c>
      <c r="F35" s="56">
        <f t="shared" si="3"/>
        <v>-495</v>
      </c>
      <c r="G35" s="57" t="str">
        <f t="shared" si="4"/>
        <v/>
      </c>
      <c r="H35" s="58"/>
    </row>
    <row r="36" spans="1:8">
      <c r="A36" s="52">
        <f t="shared" si="1"/>
        <v>16000</v>
      </c>
      <c r="B36" s="53">
        <f t="shared" si="2"/>
        <v>150</v>
      </c>
      <c r="C36" s="54" t="str">
        <f t="shared" si="0"/>
        <v>H2O</v>
      </c>
      <c r="D36" s="55">
        <f>IFERROR( HLOOKUP(A36,H2O_thicknesses!$1:$2,2, 0),0)</f>
        <v>0.18506187146995301</v>
      </c>
      <c r="E36" s="55">
        <f>IFERROR( HLOOKUP(A36,CO2_thicknesses!$1:$2,2),0)</f>
        <v>0</v>
      </c>
      <c r="F36" s="56">
        <f t="shared" si="3"/>
        <v>-494</v>
      </c>
      <c r="G36" s="57" t="str">
        <f t="shared" si="4"/>
        <v/>
      </c>
      <c r="H36" s="58"/>
    </row>
    <row r="37" spans="1:8">
      <c r="A37" s="52">
        <f t="shared" si="1"/>
        <v>17000</v>
      </c>
      <c r="B37" s="53">
        <f t="shared" si="2"/>
        <v>150</v>
      </c>
      <c r="C37" s="54" t="str">
        <f t="shared" si="0"/>
        <v>H2O</v>
      </c>
      <c r="D37" s="55">
        <f>IFERROR( HLOOKUP(A37,H2O_thicknesses!$1:$2,2, 0),0)</f>
        <v>0.18570521892641301</v>
      </c>
      <c r="E37" s="55">
        <f>IFERROR( HLOOKUP(A37,CO2_thicknesses!$1:$2,2),0)</f>
        <v>0</v>
      </c>
      <c r="F37" s="56">
        <f t="shared" si="3"/>
        <v>-493</v>
      </c>
      <c r="G37" s="57" t="str">
        <f t="shared" si="4"/>
        <v/>
      </c>
      <c r="H37" s="58"/>
    </row>
    <row r="38" spans="1:8">
      <c r="A38" s="52">
        <f t="shared" si="1"/>
        <v>18000</v>
      </c>
      <c r="B38" s="53">
        <f t="shared" si="2"/>
        <v>150</v>
      </c>
      <c r="C38" s="54" t="str">
        <f t="shared" si="0"/>
        <v>H2O</v>
      </c>
      <c r="D38" s="55">
        <f>IFERROR( HLOOKUP(A38,H2O_thicknesses!$1:$2,2, 0),0)</f>
        <v>0.18240017080354301</v>
      </c>
      <c r="E38" s="55">
        <f>IFERROR( HLOOKUP(A38,CO2_thicknesses!$1:$2,2),0)</f>
        <v>0</v>
      </c>
      <c r="F38" s="56">
        <f t="shared" si="3"/>
        <v>-492</v>
      </c>
      <c r="G38" s="57" t="str">
        <f t="shared" si="4"/>
        <v/>
      </c>
      <c r="H38" s="58"/>
    </row>
    <row r="39" spans="1:8">
      <c r="A39" s="52">
        <f t="shared" si="1"/>
        <v>19000</v>
      </c>
      <c r="B39" s="53">
        <f t="shared" si="2"/>
        <v>150</v>
      </c>
      <c r="C39" s="54" t="str">
        <f t="shared" si="0"/>
        <v>H2O</v>
      </c>
      <c r="D39" s="55">
        <f>IFERROR( HLOOKUP(A39,H2O_thicknesses!$1:$2,2, 0),0)</f>
        <v>0.17223779293986199</v>
      </c>
      <c r="E39" s="55">
        <f>IFERROR( HLOOKUP(A39,CO2_thicknesses!$1:$2,2),0)</f>
        <v>0</v>
      </c>
      <c r="F39" s="56">
        <f t="shared" si="3"/>
        <v>-491</v>
      </c>
      <c r="G39" s="57" t="str">
        <f t="shared" si="4"/>
        <v/>
      </c>
      <c r="H39" s="58"/>
    </row>
    <row r="40" spans="1:8">
      <c r="A40" s="52">
        <f t="shared" si="1"/>
        <v>20000</v>
      </c>
      <c r="B40" s="53">
        <f t="shared" si="2"/>
        <v>150</v>
      </c>
      <c r="C40" s="54" t="str">
        <f t="shared" si="0"/>
        <v>H2O</v>
      </c>
      <c r="D40" s="55">
        <f>IFERROR( HLOOKUP(A40,H2O_thicknesses!$1:$2,2, 0),0)</f>
        <v>0.17208578036417399</v>
      </c>
      <c r="E40" s="55">
        <f>IFERROR( HLOOKUP(A40,CO2_thicknesses!$1:$2,2),0)</f>
        <v>0</v>
      </c>
      <c r="F40" s="56">
        <f t="shared" si="3"/>
        <v>-490</v>
      </c>
      <c r="G40" s="57" t="str">
        <f t="shared" si="4"/>
        <v/>
      </c>
      <c r="H40" s="58"/>
    </row>
    <row r="41" spans="1:8">
      <c r="A41" s="52">
        <f t="shared" si="1"/>
        <v>21000</v>
      </c>
      <c r="B41" s="53">
        <f t="shared" si="2"/>
        <v>150</v>
      </c>
      <c r="C41" s="54" t="str">
        <f t="shared" si="0"/>
        <v>H2O</v>
      </c>
      <c r="D41" s="55">
        <f>IFERROR( HLOOKUP(A41,H2O_thicknesses!$1:$2,2, 0),0)</f>
        <v>0.177151807304162</v>
      </c>
      <c r="E41" s="55">
        <f>IFERROR( HLOOKUP(A41,CO2_thicknesses!$1:$2,2),0)</f>
        <v>0</v>
      </c>
      <c r="F41" s="56">
        <f t="shared" si="3"/>
        <v>-489</v>
      </c>
      <c r="G41" s="57" t="str">
        <f t="shared" si="4"/>
        <v/>
      </c>
      <c r="H41" s="58"/>
    </row>
    <row r="42" spans="1:8">
      <c r="A42" s="52">
        <f t="shared" si="1"/>
        <v>22000</v>
      </c>
      <c r="B42" s="53">
        <f t="shared" si="2"/>
        <v>150</v>
      </c>
      <c r="C42" s="54" t="str">
        <f t="shared" si="0"/>
        <v>H2O</v>
      </c>
      <c r="D42" s="55">
        <f>IFERROR( HLOOKUP(A42,H2O_thicknesses!$1:$2,2, 0),0)</f>
        <v>0.17817570817262701</v>
      </c>
      <c r="E42" s="55">
        <f>IFERROR( HLOOKUP(A42,CO2_thicknesses!$1:$2,2),0)</f>
        <v>0</v>
      </c>
      <c r="F42" s="56">
        <f t="shared" si="3"/>
        <v>-488</v>
      </c>
      <c r="G42" s="57" t="str">
        <f t="shared" si="4"/>
        <v/>
      </c>
      <c r="H42" s="58"/>
    </row>
    <row r="43" spans="1:8">
      <c r="A43" s="52">
        <f t="shared" si="1"/>
        <v>23000</v>
      </c>
      <c r="B43" s="53">
        <f t="shared" si="2"/>
        <v>150</v>
      </c>
      <c r="C43" s="54" t="str">
        <f t="shared" si="0"/>
        <v>H2O</v>
      </c>
      <c r="D43" s="55">
        <f>IFERROR( HLOOKUP(A43,H2O_thicknesses!$1:$2,2, 0),0)</f>
        <v>0.17809325066087101</v>
      </c>
      <c r="E43" s="55">
        <f>IFERROR( HLOOKUP(A43,CO2_thicknesses!$1:$2,2),0)</f>
        <v>0</v>
      </c>
      <c r="F43" s="56">
        <f t="shared" si="3"/>
        <v>-487</v>
      </c>
      <c r="G43" s="57" t="str">
        <f t="shared" si="4"/>
        <v/>
      </c>
      <c r="H43" s="58"/>
    </row>
    <row r="44" spans="1:8">
      <c r="A44" s="52">
        <f t="shared" si="1"/>
        <v>24000</v>
      </c>
      <c r="B44" s="53">
        <f t="shared" si="2"/>
        <v>150</v>
      </c>
      <c r="C44" s="54" t="str">
        <f t="shared" si="0"/>
        <v>H2O</v>
      </c>
      <c r="D44" s="55">
        <f>IFERROR( HLOOKUP(A44,H2O_thicknesses!$1:$2,2, 0),0)</f>
        <v>0.17856181297380699</v>
      </c>
      <c r="E44" s="55">
        <f>IFERROR( HLOOKUP(A44,CO2_thicknesses!$1:$2,2),0)</f>
        <v>0</v>
      </c>
      <c r="F44" s="56">
        <f t="shared" si="3"/>
        <v>-486</v>
      </c>
      <c r="G44" s="57" t="str">
        <f t="shared" si="4"/>
        <v/>
      </c>
      <c r="H44" s="58"/>
    </row>
    <row r="45" spans="1:8">
      <c r="A45" s="52">
        <f t="shared" si="1"/>
        <v>25000</v>
      </c>
      <c r="B45" s="53">
        <f t="shared" si="2"/>
        <v>150</v>
      </c>
      <c r="C45" s="54" t="str">
        <f t="shared" si="0"/>
        <v>H2O</v>
      </c>
      <c r="D45" s="55">
        <f>IFERROR( HLOOKUP(A45,H2O_thicknesses!$1:$2,2, 0),0)</f>
        <v>0.179786871845665</v>
      </c>
      <c r="E45" s="55">
        <f>IFERROR( HLOOKUP(A45,CO2_thicknesses!$1:$2,2),0)</f>
        <v>0</v>
      </c>
      <c r="F45" s="56">
        <f t="shared" si="3"/>
        <v>-485</v>
      </c>
      <c r="G45" s="57" t="str">
        <f t="shared" si="4"/>
        <v/>
      </c>
      <c r="H45" s="58"/>
    </row>
    <row r="46" spans="1:8">
      <c r="A46" s="52">
        <f t="shared" si="1"/>
        <v>26000</v>
      </c>
      <c r="B46" s="53">
        <f t="shared" si="2"/>
        <v>150</v>
      </c>
      <c r="C46" s="54" t="str">
        <f t="shared" si="0"/>
        <v>H2O</v>
      </c>
      <c r="D46" s="55">
        <f>IFERROR( HLOOKUP(A46,H2O_thicknesses!$1:$2,2, 0),0)</f>
        <v>0.18337025461640499</v>
      </c>
      <c r="E46" s="55">
        <f>IFERROR( HLOOKUP(A46,CO2_thicknesses!$1:$2,2),0)</f>
        <v>0</v>
      </c>
      <c r="F46" s="56">
        <f t="shared" si="3"/>
        <v>-484</v>
      </c>
      <c r="G46" s="57" t="str">
        <f t="shared" si="4"/>
        <v/>
      </c>
      <c r="H46" s="58"/>
    </row>
    <row r="47" spans="1:8">
      <c r="A47" s="52">
        <f t="shared" si="1"/>
        <v>27000</v>
      </c>
      <c r="B47" s="53">
        <f t="shared" si="2"/>
        <v>150</v>
      </c>
      <c r="C47" s="54" t="str">
        <f t="shared" si="0"/>
        <v>H2O</v>
      </c>
      <c r="D47" s="55">
        <f>IFERROR( HLOOKUP(A47,H2O_thicknesses!$1:$2,2, 0),0)</f>
        <v>0.18824284631986499</v>
      </c>
      <c r="E47" s="55">
        <f>IFERROR( HLOOKUP(A47,CO2_thicknesses!$1:$2,2),0)</f>
        <v>0</v>
      </c>
      <c r="F47" s="56">
        <f t="shared" si="3"/>
        <v>-483</v>
      </c>
      <c r="G47" s="57" t="str">
        <f t="shared" si="4"/>
        <v/>
      </c>
      <c r="H47" s="58"/>
    </row>
    <row r="48" spans="1:8">
      <c r="A48" s="52">
        <f t="shared" si="1"/>
        <v>28000</v>
      </c>
      <c r="B48" s="53">
        <f t="shared" si="2"/>
        <v>150</v>
      </c>
      <c r="C48" s="54" t="str">
        <f t="shared" si="0"/>
        <v>H2O</v>
      </c>
      <c r="D48" s="55">
        <f>IFERROR( HLOOKUP(A48,H2O_thicknesses!$1:$2,2, 0),0)</f>
        <v>0.188494309895337</v>
      </c>
      <c r="E48" s="55">
        <f>IFERROR( HLOOKUP(A48,CO2_thicknesses!$1:$2,2),0)</f>
        <v>0</v>
      </c>
      <c r="F48" s="56">
        <f t="shared" si="3"/>
        <v>-482</v>
      </c>
      <c r="G48" s="57" t="str">
        <f t="shared" si="4"/>
        <v/>
      </c>
      <c r="H48" s="58"/>
    </row>
    <row r="49" spans="1:8">
      <c r="A49" s="52">
        <f t="shared" si="1"/>
        <v>29000</v>
      </c>
      <c r="B49" s="53">
        <f t="shared" si="2"/>
        <v>150</v>
      </c>
      <c r="C49" s="54" t="str">
        <f t="shared" si="0"/>
        <v>H2O</v>
      </c>
      <c r="D49" s="55">
        <f>IFERROR( HLOOKUP(A49,H2O_thicknesses!$1:$2,2, 0),0)</f>
        <v>0.19059430735765701</v>
      </c>
      <c r="E49" s="55">
        <f>IFERROR( HLOOKUP(A49,CO2_thicknesses!$1:$2,2),0)</f>
        <v>0</v>
      </c>
      <c r="F49" s="56">
        <f t="shared" si="3"/>
        <v>-481</v>
      </c>
      <c r="G49" s="57" t="str">
        <f t="shared" si="4"/>
        <v/>
      </c>
      <c r="H49" s="58"/>
    </row>
    <row r="50" spans="1:8">
      <c r="A50" s="52">
        <f t="shared" si="1"/>
        <v>30000</v>
      </c>
      <c r="B50" s="53">
        <f t="shared" si="2"/>
        <v>150</v>
      </c>
      <c r="C50" s="54" t="str">
        <f t="shared" si="0"/>
        <v>H2O</v>
      </c>
      <c r="D50" s="55">
        <f>IFERROR( HLOOKUP(A50,H2O_thicknesses!$1:$2,2, 0),0)</f>
        <v>0.198663285293778</v>
      </c>
      <c r="E50" s="55">
        <f>IFERROR( HLOOKUP(A50,CO2_thicknesses!$1:$2,2),0)</f>
        <v>0</v>
      </c>
      <c r="F50" s="56">
        <f t="shared" si="3"/>
        <v>-480</v>
      </c>
      <c r="G50" s="57" t="str">
        <f t="shared" si="4"/>
        <v/>
      </c>
      <c r="H50" s="58"/>
    </row>
    <row r="51" spans="1:8">
      <c r="A51" s="52">
        <f t="shared" si="1"/>
        <v>31000</v>
      </c>
      <c r="B51" s="53">
        <f t="shared" si="2"/>
        <v>150</v>
      </c>
      <c r="C51" s="54" t="str">
        <f t="shared" si="0"/>
        <v>H2O</v>
      </c>
      <c r="D51" s="55">
        <f>IFERROR( HLOOKUP(A51,H2O_thicknesses!$1:$2,2, 0),0)</f>
        <v>0.20358561553792801</v>
      </c>
      <c r="E51" s="55">
        <f>IFERROR( HLOOKUP(A51,CO2_thicknesses!$1:$2,2),0)</f>
        <v>0</v>
      </c>
      <c r="F51" s="56">
        <f t="shared" si="3"/>
        <v>-479</v>
      </c>
      <c r="G51" s="57" t="str">
        <f t="shared" si="4"/>
        <v/>
      </c>
      <c r="H51" s="58"/>
    </row>
    <row r="52" spans="1:8">
      <c r="A52" s="52">
        <f t="shared" si="1"/>
        <v>32000</v>
      </c>
      <c r="B52" s="53">
        <f t="shared" si="2"/>
        <v>150</v>
      </c>
      <c r="C52" s="54" t="str">
        <f t="shared" si="0"/>
        <v>H2O</v>
      </c>
      <c r="D52" s="55">
        <f>IFERROR( HLOOKUP(A52,H2O_thicknesses!$1:$2,2, 0),0)</f>
        <v>0.21091264681805599</v>
      </c>
      <c r="E52" s="55">
        <f>IFERROR( HLOOKUP(A52,CO2_thicknesses!$1:$2,2),0)</f>
        <v>0</v>
      </c>
      <c r="F52" s="56">
        <f t="shared" si="3"/>
        <v>-478</v>
      </c>
      <c r="G52" s="57" t="str">
        <f t="shared" si="4"/>
        <v/>
      </c>
      <c r="H52" s="58"/>
    </row>
    <row r="53" spans="1:8">
      <c r="A53" s="52">
        <f t="shared" si="1"/>
        <v>33000</v>
      </c>
      <c r="B53" s="53">
        <f t="shared" si="2"/>
        <v>150</v>
      </c>
      <c r="C53" s="54" t="str">
        <f t="shared" si="0"/>
        <v>H2O</v>
      </c>
      <c r="D53" s="55">
        <f>IFERROR( HLOOKUP(A53,H2O_thicknesses!$1:$2,2, 0),0)</f>
        <v>0.228861562599776</v>
      </c>
      <c r="E53" s="55">
        <f>IFERROR( HLOOKUP(A53,CO2_thicknesses!$1:$2,2),0)</f>
        <v>0</v>
      </c>
      <c r="F53" s="56">
        <f t="shared" si="3"/>
        <v>-477</v>
      </c>
      <c r="G53" s="57" t="str">
        <f t="shared" si="4"/>
        <v/>
      </c>
      <c r="H53" s="58"/>
    </row>
    <row r="54" spans="1:8">
      <c r="A54" s="52">
        <f t="shared" si="1"/>
        <v>34000</v>
      </c>
      <c r="B54" s="53">
        <f t="shared" si="2"/>
        <v>150</v>
      </c>
      <c r="C54" s="54" t="str">
        <f t="shared" si="0"/>
        <v>H2O</v>
      </c>
      <c r="D54" s="55">
        <f>IFERROR( HLOOKUP(A54,H2O_thicknesses!$1:$2,2, 0),0)</f>
        <v>0.220755948596327</v>
      </c>
      <c r="E54" s="55">
        <f>IFERROR( HLOOKUP(A54,CO2_thicknesses!$1:$2,2),0)</f>
        <v>0</v>
      </c>
      <c r="F54" s="56">
        <f t="shared" si="3"/>
        <v>-476</v>
      </c>
      <c r="G54" s="57" t="str">
        <f t="shared" si="4"/>
        <v/>
      </c>
      <c r="H54" s="58"/>
    </row>
    <row r="55" spans="1:8">
      <c r="A55" s="52">
        <f t="shared" si="1"/>
        <v>35000</v>
      </c>
      <c r="B55" s="53">
        <f t="shared" si="2"/>
        <v>150</v>
      </c>
      <c r="C55" s="54" t="str">
        <f t="shared" si="0"/>
        <v>H2O</v>
      </c>
      <c r="D55" s="55">
        <f>IFERROR( HLOOKUP(A55,H2O_thicknesses!$1:$2,2, 0),0)</f>
        <v>0.228626690918319</v>
      </c>
      <c r="E55" s="55">
        <f>IFERROR( HLOOKUP(A55,CO2_thicknesses!$1:$2,2),0)</f>
        <v>0</v>
      </c>
      <c r="F55" s="56">
        <f t="shared" si="3"/>
        <v>-475</v>
      </c>
      <c r="G55" s="57" t="str">
        <f t="shared" si="4"/>
        <v/>
      </c>
      <c r="H55" s="58"/>
    </row>
    <row r="56" spans="1:8">
      <c r="A56" s="52">
        <f t="shared" si="1"/>
        <v>36000</v>
      </c>
      <c r="B56" s="53">
        <f t="shared" si="2"/>
        <v>150</v>
      </c>
      <c r="C56" s="54" t="str">
        <f t="shared" si="0"/>
        <v>H2O</v>
      </c>
      <c r="D56" s="55">
        <f>IFERROR( HLOOKUP(A56,H2O_thicknesses!$1:$2,2, 0),0)</f>
        <v>0.24205651767747499</v>
      </c>
      <c r="E56" s="55">
        <f>IFERROR( HLOOKUP(A56,CO2_thicknesses!$1:$2,2),0)</f>
        <v>0</v>
      </c>
      <c r="F56" s="56">
        <f t="shared" si="3"/>
        <v>-474</v>
      </c>
      <c r="G56" s="57" t="str">
        <f t="shared" si="4"/>
        <v/>
      </c>
      <c r="H56" s="58"/>
    </row>
    <row r="57" spans="1:8">
      <c r="A57" s="52">
        <f t="shared" si="1"/>
        <v>37000</v>
      </c>
      <c r="B57" s="53">
        <f t="shared" si="2"/>
        <v>150</v>
      </c>
      <c r="C57" s="54" t="str">
        <f t="shared" si="0"/>
        <v>H2O</v>
      </c>
      <c r="D57" s="55">
        <f>IFERROR( HLOOKUP(A57,H2O_thicknesses!$1:$2,2, 0),0)</f>
        <v>0.24835532569535701</v>
      </c>
      <c r="E57" s="55">
        <f>IFERROR( HLOOKUP(A57,CO2_thicknesses!$1:$2,2),0)</f>
        <v>0</v>
      </c>
      <c r="F57" s="56">
        <f t="shared" si="3"/>
        <v>-473</v>
      </c>
      <c r="G57" s="57" t="str">
        <f t="shared" si="4"/>
        <v/>
      </c>
      <c r="H57" s="58"/>
    </row>
    <row r="58" spans="1:8">
      <c r="A58" s="52">
        <f t="shared" si="1"/>
        <v>38000</v>
      </c>
      <c r="B58" s="53">
        <f t="shared" si="2"/>
        <v>150</v>
      </c>
      <c r="C58" s="54" t="str">
        <f t="shared" si="0"/>
        <v>H2O</v>
      </c>
      <c r="D58" s="55">
        <f>IFERROR( HLOOKUP(A58,H2O_thicknesses!$1:$2,2, 0),0)</f>
        <v>0.18565936077560599</v>
      </c>
      <c r="E58" s="55">
        <f>IFERROR( HLOOKUP(A58,CO2_thicknesses!$1:$2,2),0)</f>
        <v>0</v>
      </c>
      <c r="F58" s="56">
        <f t="shared" si="3"/>
        <v>-472</v>
      </c>
      <c r="G58" s="57" t="str">
        <f t="shared" si="4"/>
        <v/>
      </c>
      <c r="H58" s="58"/>
    </row>
    <row r="59" spans="1:8">
      <c r="A59" s="52">
        <f t="shared" si="1"/>
        <v>39000</v>
      </c>
      <c r="B59" s="53">
        <f t="shared" si="2"/>
        <v>150</v>
      </c>
      <c r="C59" s="54" t="str">
        <f t="shared" si="0"/>
        <v>CO2</v>
      </c>
      <c r="D59" s="55">
        <f>IFERROR( HLOOKUP(A59,H2O_thicknesses!$1:$2,2, 0),0)</f>
        <v>0</v>
      </c>
      <c r="E59" s="55">
        <f>IFERROR( HLOOKUP(A59,CO2_thicknesses!$1:$2,2),0)</f>
        <v>0</v>
      </c>
      <c r="F59" s="56">
        <f t="shared" si="3"/>
        <v>-471</v>
      </c>
      <c r="G59" s="57" t="str">
        <f t="shared" si="4"/>
        <v>CO2</v>
      </c>
      <c r="H59" s="58"/>
    </row>
    <row r="60" spans="1:8">
      <c r="A60" s="52">
        <f t="shared" si="1"/>
        <v>40000</v>
      </c>
      <c r="B60" s="53">
        <f t="shared" si="2"/>
        <v>150</v>
      </c>
      <c r="C60" s="54" t="str">
        <f t="shared" si="0"/>
        <v>CO2</v>
      </c>
      <c r="D60" s="55">
        <f>IFERROR( HLOOKUP(A60,H2O_thicknesses!$1:$2,2, 0),0)</f>
        <v>0</v>
      </c>
      <c r="E60" s="55">
        <f>IFERROR( HLOOKUP(A60,CO2_thicknesses!$1:$2,2),0)</f>
        <v>0</v>
      </c>
      <c r="F60" s="56">
        <f t="shared" si="3"/>
        <v>-470</v>
      </c>
      <c r="G60" s="57" t="str">
        <f t="shared" si="4"/>
        <v/>
      </c>
      <c r="H60" s="58"/>
    </row>
    <row r="61" spans="1:8">
      <c r="A61" s="52">
        <f t="shared" si="1"/>
        <v>41000</v>
      </c>
      <c r="B61" s="53">
        <f t="shared" si="2"/>
        <v>150</v>
      </c>
      <c r="C61" s="54" t="str">
        <f t="shared" si="0"/>
        <v>CO2</v>
      </c>
      <c r="D61" s="55">
        <f>IFERROR( HLOOKUP(A61,H2O_thicknesses!$1:$2,2, 0),0)</f>
        <v>0</v>
      </c>
      <c r="E61" s="55">
        <f>IFERROR( HLOOKUP(A61,CO2_thicknesses!$1:$2,2),0)</f>
        <v>0</v>
      </c>
      <c r="F61" s="56">
        <f t="shared" si="3"/>
        <v>-469</v>
      </c>
      <c r="G61" s="57" t="str">
        <f t="shared" si="4"/>
        <v/>
      </c>
      <c r="H61" s="58"/>
    </row>
    <row r="62" spans="1:8">
      <c r="A62" s="52">
        <f t="shared" si="1"/>
        <v>42000</v>
      </c>
      <c r="B62" s="53">
        <f t="shared" si="2"/>
        <v>150</v>
      </c>
      <c r="C62" s="54" t="str">
        <f t="shared" si="0"/>
        <v>CO2</v>
      </c>
      <c r="D62" s="55">
        <f>IFERROR( HLOOKUP(A62,H2O_thicknesses!$1:$2,2, 0),0)</f>
        <v>0</v>
      </c>
      <c r="E62" s="55">
        <f>IFERROR( HLOOKUP(A62,CO2_thicknesses!$1:$2,2),0)</f>
        <v>0</v>
      </c>
      <c r="F62" s="56">
        <f t="shared" si="3"/>
        <v>-468</v>
      </c>
      <c r="G62" s="57" t="str">
        <f t="shared" si="4"/>
        <v/>
      </c>
      <c r="H62" s="58"/>
    </row>
    <row r="63" spans="1:8">
      <c r="A63" s="52">
        <f t="shared" si="1"/>
        <v>43000</v>
      </c>
      <c r="B63" s="53">
        <f t="shared" si="2"/>
        <v>150</v>
      </c>
      <c r="C63" s="54" t="str">
        <f t="shared" si="0"/>
        <v>CO2</v>
      </c>
      <c r="D63" s="55">
        <f>IFERROR( HLOOKUP(A63,H2O_thicknesses!$1:$2,2, 0),0)</f>
        <v>0</v>
      </c>
      <c r="E63" s="55">
        <f>IFERROR( HLOOKUP(A63,CO2_thicknesses!$1:$2,2),0)</f>
        <v>0</v>
      </c>
      <c r="F63" s="56">
        <f t="shared" si="3"/>
        <v>-467</v>
      </c>
      <c r="G63" s="57" t="str">
        <f t="shared" si="4"/>
        <v/>
      </c>
      <c r="H63" s="58"/>
    </row>
    <row r="64" spans="1:8">
      <c r="A64" s="52">
        <f t="shared" si="1"/>
        <v>44000</v>
      </c>
      <c r="B64" s="53">
        <f t="shared" si="2"/>
        <v>150</v>
      </c>
      <c r="C64" s="54" t="str">
        <f t="shared" si="0"/>
        <v>CO2</v>
      </c>
      <c r="D64" s="55">
        <f>IFERROR( HLOOKUP(A64,H2O_thicknesses!$1:$2,2, 0),0)</f>
        <v>0</v>
      </c>
      <c r="E64" s="55">
        <f>IFERROR( HLOOKUP(A64,CO2_thicknesses!$1:$2,2),0)</f>
        <v>0</v>
      </c>
      <c r="F64" s="56">
        <f t="shared" si="3"/>
        <v>-466</v>
      </c>
      <c r="G64" s="57" t="str">
        <f t="shared" si="4"/>
        <v/>
      </c>
      <c r="H64" s="58"/>
    </row>
    <row r="65" spans="1:8">
      <c r="A65" s="52">
        <f t="shared" si="1"/>
        <v>45000</v>
      </c>
      <c r="B65" s="53">
        <f t="shared" si="2"/>
        <v>150</v>
      </c>
      <c r="C65" s="54" t="str">
        <f t="shared" si="0"/>
        <v>CO2</v>
      </c>
      <c r="D65" s="55">
        <f>IFERROR( HLOOKUP(A65,H2O_thicknesses!$1:$2,2, 0),0)</f>
        <v>0</v>
      </c>
      <c r="E65" s="55">
        <f>IFERROR( HLOOKUP(A65,CO2_thicknesses!$1:$2,2),0)</f>
        <v>0</v>
      </c>
      <c r="F65" s="56">
        <f t="shared" si="3"/>
        <v>-465</v>
      </c>
      <c r="G65" s="57" t="str">
        <f t="shared" si="4"/>
        <v/>
      </c>
      <c r="H65" s="58"/>
    </row>
    <row r="66" spans="1:8">
      <c r="A66" s="52">
        <f t="shared" si="1"/>
        <v>46000</v>
      </c>
      <c r="B66" s="53">
        <f t="shared" si="2"/>
        <v>150</v>
      </c>
      <c r="C66" s="54" t="str">
        <f t="shared" si="0"/>
        <v>CO2</v>
      </c>
      <c r="D66" s="55">
        <f>IFERROR( HLOOKUP(A66,H2O_thicknesses!$1:$2,2, 0),0)</f>
        <v>0</v>
      </c>
      <c r="E66" s="55">
        <f>IFERROR( HLOOKUP(A66,CO2_thicknesses!$1:$2,2),0)</f>
        <v>0</v>
      </c>
      <c r="F66" s="56">
        <f t="shared" si="3"/>
        <v>-464</v>
      </c>
      <c r="G66" s="57" t="str">
        <f t="shared" si="4"/>
        <v/>
      </c>
      <c r="H66" s="58"/>
    </row>
    <row r="67" spans="1:8">
      <c r="A67" s="52">
        <f t="shared" si="1"/>
        <v>47000</v>
      </c>
      <c r="B67" s="53">
        <f t="shared" si="2"/>
        <v>150</v>
      </c>
      <c r="C67" s="54" t="str">
        <f t="shared" si="0"/>
        <v>CO2</v>
      </c>
      <c r="D67" s="55">
        <f>IFERROR( HLOOKUP(A67,H2O_thicknesses!$1:$2,2, 0),0)</f>
        <v>0</v>
      </c>
      <c r="E67" s="55">
        <f>IFERROR( HLOOKUP(A67,CO2_thicknesses!$1:$2,2),0)</f>
        <v>0</v>
      </c>
      <c r="F67" s="56">
        <f t="shared" si="3"/>
        <v>-463</v>
      </c>
      <c r="G67" s="57" t="str">
        <f t="shared" si="4"/>
        <v/>
      </c>
      <c r="H67" s="58"/>
    </row>
    <row r="68" spans="1:8">
      <c r="A68" s="52">
        <f t="shared" si="1"/>
        <v>48000</v>
      </c>
      <c r="B68" s="53">
        <f t="shared" si="2"/>
        <v>150</v>
      </c>
      <c r="C68" s="54" t="str">
        <f t="shared" si="0"/>
        <v>CO2</v>
      </c>
      <c r="D68" s="55">
        <f>IFERROR( HLOOKUP(A68,H2O_thicknesses!$1:$2,2, 0),0)</f>
        <v>0</v>
      </c>
      <c r="E68" s="55">
        <f>IFERROR( HLOOKUP(A68,CO2_thicknesses!$1:$2,2),0)</f>
        <v>0</v>
      </c>
      <c r="F68" s="56">
        <f t="shared" si="3"/>
        <v>-462</v>
      </c>
      <c r="G68" s="57" t="str">
        <f t="shared" si="4"/>
        <v/>
      </c>
      <c r="H68" s="58"/>
    </row>
    <row r="69" spans="1:8">
      <c r="A69" s="52">
        <f t="shared" si="1"/>
        <v>49000</v>
      </c>
      <c r="B69" s="53">
        <f t="shared" si="2"/>
        <v>150</v>
      </c>
      <c r="C69" s="54" t="str">
        <f t="shared" si="0"/>
        <v>CO2</v>
      </c>
      <c r="D69" s="55">
        <f>IFERROR( HLOOKUP(A69,H2O_thicknesses!$1:$2,2, 0),0)</f>
        <v>0</v>
      </c>
      <c r="E69" s="55">
        <f>IFERROR( HLOOKUP(A69,CO2_thicknesses!$1:$2,2),0)</f>
        <v>0</v>
      </c>
      <c r="F69" s="56">
        <f t="shared" si="3"/>
        <v>-461</v>
      </c>
      <c r="G69" s="57" t="str">
        <f t="shared" si="4"/>
        <v/>
      </c>
      <c r="H69" s="58"/>
    </row>
    <row r="70" spans="1:8">
      <c r="A70" s="52">
        <f t="shared" si="1"/>
        <v>50000</v>
      </c>
      <c r="B70" s="53">
        <f t="shared" si="2"/>
        <v>150</v>
      </c>
      <c r="C70" s="54" t="str">
        <f t="shared" si="0"/>
        <v>CO2</v>
      </c>
      <c r="D70" s="55">
        <f>IFERROR( HLOOKUP(A70,H2O_thicknesses!$1:$2,2, 0),0)</f>
        <v>0</v>
      </c>
      <c r="E70" s="55">
        <f>IFERROR( HLOOKUP(A70,CO2_thicknesses!$1:$2,2),0)</f>
        <v>0</v>
      </c>
      <c r="F70" s="56">
        <f t="shared" si="3"/>
        <v>-460</v>
      </c>
      <c r="G70" s="57" t="str">
        <f t="shared" si="4"/>
        <v/>
      </c>
      <c r="H70" s="58"/>
    </row>
    <row r="71" spans="1:8">
      <c r="A71" s="52">
        <f t="shared" si="1"/>
        <v>51000</v>
      </c>
      <c r="B71" s="53">
        <f t="shared" si="2"/>
        <v>150</v>
      </c>
      <c r="C71" s="54" t="str">
        <f t="shared" si="0"/>
        <v>CO2</v>
      </c>
      <c r="D71" s="55">
        <f>IFERROR( HLOOKUP(A71,H2O_thicknesses!$1:$2,2, 0),0)</f>
        <v>0</v>
      </c>
      <c r="E71" s="55">
        <f>IFERROR( HLOOKUP(A71,CO2_thicknesses!$1:$2,2),0)</f>
        <v>0</v>
      </c>
      <c r="F71" s="56">
        <f t="shared" si="3"/>
        <v>-459</v>
      </c>
      <c r="G71" s="57" t="str">
        <f t="shared" si="4"/>
        <v/>
      </c>
      <c r="H71" s="58"/>
    </row>
    <row r="72" spans="1:8">
      <c r="A72" s="52">
        <f t="shared" si="1"/>
        <v>52000</v>
      </c>
      <c r="B72" s="53">
        <f t="shared" si="2"/>
        <v>150</v>
      </c>
      <c r="C72" s="54" t="str">
        <f t="shared" si="0"/>
        <v>CO2</v>
      </c>
      <c r="D72" s="55">
        <f>IFERROR( HLOOKUP(A72,H2O_thicknesses!$1:$2,2, 0),0)</f>
        <v>0</v>
      </c>
      <c r="E72" s="55">
        <f>IFERROR( HLOOKUP(A72,CO2_thicknesses!$1:$2,2),0)</f>
        <v>0</v>
      </c>
      <c r="F72" s="56">
        <f t="shared" si="3"/>
        <v>-458</v>
      </c>
      <c r="G72" s="57" t="str">
        <f t="shared" si="4"/>
        <v/>
      </c>
      <c r="H72" s="58"/>
    </row>
    <row r="73" spans="1:8">
      <c r="A73" s="52">
        <f t="shared" si="1"/>
        <v>53000</v>
      </c>
      <c r="B73" s="53">
        <f t="shared" si="2"/>
        <v>150</v>
      </c>
      <c r="C73" s="54" t="str">
        <f t="shared" si="0"/>
        <v>CO2</v>
      </c>
      <c r="D73" s="55">
        <f>IFERROR( HLOOKUP(A73,H2O_thicknesses!$1:$2,2, 0),0)</f>
        <v>0</v>
      </c>
      <c r="E73" s="55">
        <f>IFERROR( HLOOKUP(A73,CO2_thicknesses!$1:$2,2),0)</f>
        <v>0</v>
      </c>
      <c r="F73" s="56">
        <f t="shared" si="3"/>
        <v>-457</v>
      </c>
      <c r="G73" s="57" t="str">
        <f t="shared" si="4"/>
        <v/>
      </c>
      <c r="H73" s="58"/>
    </row>
    <row r="74" spans="1:8">
      <c r="A74" s="52">
        <f t="shared" si="1"/>
        <v>54000</v>
      </c>
      <c r="B74" s="53">
        <f t="shared" si="2"/>
        <v>150</v>
      </c>
      <c r="C74" s="54" t="str">
        <f t="shared" si="0"/>
        <v>CO2</v>
      </c>
      <c r="D74" s="55">
        <f>IFERROR( HLOOKUP(A74,H2O_thicknesses!$1:$2,2, 0),0)</f>
        <v>0</v>
      </c>
      <c r="E74" s="55">
        <f>IFERROR( HLOOKUP(A74,CO2_thicknesses!$1:$2,2),0)</f>
        <v>0</v>
      </c>
      <c r="F74" s="56">
        <f t="shared" si="3"/>
        <v>-456</v>
      </c>
      <c r="G74" s="57" t="str">
        <f t="shared" si="4"/>
        <v/>
      </c>
      <c r="H74" s="58"/>
    </row>
    <row r="75" spans="1:8">
      <c r="A75" s="52">
        <f t="shared" si="1"/>
        <v>55000</v>
      </c>
      <c r="B75" s="53">
        <f t="shared" si="2"/>
        <v>150</v>
      </c>
      <c r="C75" s="54" t="str">
        <f t="shared" si="0"/>
        <v>CO2</v>
      </c>
      <c r="D75" s="55">
        <f>IFERROR( HLOOKUP(A75,H2O_thicknesses!$1:$2,2, 0),0)</f>
        <v>0</v>
      </c>
      <c r="E75" s="55">
        <f>IFERROR( HLOOKUP(A75,CO2_thicknesses!$1:$2,2),0)</f>
        <v>0</v>
      </c>
      <c r="F75" s="56">
        <f t="shared" si="3"/>
        <v>-455</v>
      </c>
      <c r="G75" s="57" t="str">
        <f t="shared" si="4"/>
        <v/>
      </c>
      <c r="H75" s="58"/>
    </row>
    <row r="76" spans="1:8">
      <c r="A76" s="52">
        <f t="shared" si="1"/>
        <v>56000</v>
      </c>
      <c r="B76" s="53">
        <f t="shared" si="2"/>
        <v>150</v>
      </c>
      <c r="C76" s="54" t="str">
        <f t="shared" si="0"/>
        <v>CO2</v>
      </c>
      <c r="D76" s="55">
        <f>IFERROR( HLOOKUP(A76,H2O_thicknesses!$1:$2,2, 0),0)</f>
        <v>0</v>
      </c>
      <c r="E76" s="55">
        <f>IFERROR( HLOOKUP(A76,CO2_thicknesses!$1:$2,2),0)</f>
        <v>0</v>
      </c>
      <c r="F76" s="56">
        <f t="shared" si="3"/>
        <v>-454</v>
      </c>
      <c r="G76" s="57" t="str">
        <f t="shared" si="4"/>
        <v/>
      </c>
      <c r="H76" s="58"/>
    </row>
    <row r="77" spans="1:8">
      <c r="A77" s="52">
        <f t="shared" si="1"/>
        <v>57000</v>
      </c>
      <c r="B77" s="53">
        <f t="shared" si="2"/>
        <v>150</v>
      </c>
      <c r="C77" s="54" t="str">
        <f t="shared" si="0"/>
        <v>CO2</v>
      </c>
      <c r="D77" s="55">
        <f>IFERROR( HLOOKUP(A77,H2O_thicknesses!$1:$2,2, 0),0)</f>
        <v>0</v>
      </c>
      <c r="E77" s="55">
        <f>IFERROR( HLOOKUP(A77,CO2_thicknesses!$1:$2,2),0)</f>
        <v>0</v>
      </c>
      <c r="F77" s="56">
        <f t="shared" si="3"/>
        <v>-453</v>
      </c>
      <c r="G77" s="57" t="str">
        <f t="shared" si="4"/>
        <v/>
      </c>
      <c r="H77" s="58"/>
    </row>
    <row r="78" spans="1:8">
      <c r="A78" s="52">
        <f t="shared" si="1"/>
        <v>58000</v>
      </c>
      <c r="B78" s="53">
        <f t="shared" si="2"/>
        <v>150</v>
      </c>
      <c r="C78" s="54" t="str">
        <f t="shared" si="0"/>
        <v>CO2</v>
      </c>
      <c r="D78" s="55">
        <f>IFERROR( HLOOKUP(A78,H2O_thicknesses!$1:$2,2, 0),0)</f>
        <v>0</v>
      </c>
      <c r="E78" s="55">
        <f>IFERROR( HLOOKUP(A78,CO2_thicknesses!$1:$2,2),0)</f>
        <v>0</v>
      </c>
      <c r="F78" s="56">
        <f t="shared" si="3"/>
        <v>-452</v>
      </c>
      <c r="G78" s="57" t="str">
        <f t="shared" si="4"/>
        <v/>
      </c>
      <c r="H78" s="58"/>
    </row>
    <row r="79" spans="1:8">
      <c r="A79" s="52">
        <f t="shared" si="1"/>
        <v>59000</v>
      </c>
      <c r="B79" s="53">
        <f t="shared" si="2"/>
        <v>150</v>
      </c>
      <c r="C79" s="54" t="str">
        <f t="shared" si="0"/>
        <v>CO2</v>
      </c>
      <c r="D79" s="55">
        <f>IFERROR( HLOOKUP(A79,H2O_thicknesses!$1:$2,2, 0),0)</f>
        <v>0</v>
      </c>
      <c r="E79" s="55">
        <f>IFERROR( HLOOKUP(A79,CO2_thicknesses!$1:$2,2),0)</f>
        <v>0</v>
      </c>
      <c r="F79" s="56">
        <f t="shared" si="3"/>
        <v>-451</v>
      </c>
      <c r="G79" s="57" t="str">
        <f t="shared" si="4"/>
        <v/>
      </c>
      <c r="H79" s="58"/>
    </row>
    <row r="80" spans="1:8">
      <c r="A80" s="52">
        <f t="shared" si="1"/>
        <v>60000</v>
      </c>
      <c r="B80" s="53">
        <f t="shared" si="2"/>
        <v>150</v>
      </c>
      <c r="C80" s="54" t="str">
        <f t="shared" si="0"/>
        <v>CO2</v>
      </c>
      <c r="D80" s="55">
        <f>IFERROR( HLOOKUP(A80,H2O_thicknesses!$1:$2,2, 0),0)</f>
        <v>0</v>
      </c>
      <c r="E80" s="55">
        <f>IFERROR( HLOOKUP(A80,CO2_thicknesses!$1:$2,2),0)</f>
        <v>0</v>
      </c>
      <c r="F80" s="56">
        <f t="shared" si="3"/>
        <v>-450</v>
      </c>
      <c r="G80" s="57" t="str">
        <f t="shared" si="4"/>
        <v/>
      </c>
      <c r="H80" s="58"/>
    </row>
    <row r="81" spans="1:8">
      <c r="A81" s="52">
        <f t="shared" si="1"/>
        <v>61000</v>
      </c>
      <c r="B81" s="53">
        <f t="shared" si="2"/>
        <v>150</v>
      </c>
      <c r="C81" s="54" t="str">
        <f t="shared" si="0"/>
        <v>CO2</v>
      </c>
      <c r="D81" s="55">
        <f>IFERROR( HLOOKUP(A81,H2O_thicknesses!$1:$2,2, 0),0)</f>
        <v>0</v>
      </c>
      <c r="E81" s="55">
        <f>IFERROR( HLOOKUP(A81,CO2_thicknesses!$1:$2,2),0)</f>
        <v>0</v>
      </c>
      <c r="F81" s="56">
        <f t="shared" si="3"/>
        <v>-449</v>
      </c>
      <c r="G81" s="57" t="str">
        <f t="shared" si="4"/>
        <v/>
      </c>
      <c r="H81" s="58"/>
    </row>
    <row r="82" spans="1:8">
      <c r="A82" s="52">
        <f t="shared" si="1"/>
        <v>62000</v>
      </c>
      <c r="B82" s="53">
        <f t="shared" si="2"/>
        <v>150</v>
      </c>
      <c r="C82" s="54" t="str">
        <f t="shared" si="0"/>
        <v>CO2</v>
      </c>
      <c r="D82" s="55">
        <f>IFERROR( HLOOKUP(A82,H2O_thicknesses!$1:$2,2, 0),0)</f>
        <v>0</v>
      </c>
      <c r="E82" s="55">
        <f>IFERROR( HLOOKUP(A82,CO2_thicknesses!$1:$2,2),0)</f>
        <v>0</v>
      </c>
      <c r="F82" s="56">
        <f t="shared" si="3"/>
        <v>-448</v>
      </c>
      <c r="G82" s="57" t="str">
        <f t="shared" si="4"/>
        <v/>
      </c>
      <c r="H82" s="58"/>
    </row>
    <row r="83" spans="1:8">
      <c r="A83" s="52">
        <f t="shared" si="1"/>
        <v>63000</v>
      </c>
      <c r="B83" s="53">
        <f t="shared" si="2"/>
        <v>150</v>
      </c>
      <c r="C83" s="54" t="str">
        <f t="shared" si="0"/>
        <v>CO2</v>
      </c>
      <c r="D83" s="55">
        <f>IFERROR( HLOOKUP(A83,H2O_thicknesses!$1:$2,2, 0),0)</f>
        <v>0</v>
      </c>
      <c r="E83" s="55">
        <f>IFERROR( HLOOKUP(A83,CO2_thicknesses!$1:$2,2),0)</f>
        <v>0</v>
      </c>
      <c r="F83" s="56">
        <f t="shared" si="3"/>
        <v>-447</v>
      </c>
      <c r="G83" s="57" t="str">
        <f t="shared" si="4"/>
        <v/>
      </c>
      <c r="H83" s="58"/>
    </row>
    <row r="84" spans="1:8">
      <c r="A84" s="52">
        <f t="shared" si="1"/>
        <v>64000</v>
      </c>
      <c r="B84" s="53">
        <f t="shared" si="2"/>
        <v>150</v>
      </c>
      <c r="C84" s="54" t="str">
        <f t="shared" ref="C84:C147" si="5">IF(D84=0, "CO2", "H2O")</f>
        <v>CO2</v>
      </c>
      <c r="D84" s="55">
        <f>IFERROR( HLOOKUP(A84,H2O_thicknesses!$1:$2,2, 0),0)</f>
        <v>0</v>
      </c>
      <c r="E84" s="55">
        <f>IFERROR( HLOOKUP(A84,CO2_thicknesses!$1:$2,2),0)</f>
        <v>0</v>
      </c>
      <c r="F84" s="56">
        <f t="shared" si="3"/>
        <v>-446</v>
      </c>
      <c r="G84" s="57" t="str">
        <f t="shared" si="4"/>
        <v/>
      </c>
      <c r="H84" s="58"/>
    </row>
    <row r="85" spans="1:8">
      <c r="A85" s="52">
        <f t="shared" ref="A85:A148" si="6">A84+1000</f>
        <v>65000</v>
      </c>
      <c r="B85" s="53">
        <f t="shared" ref="B85:B148" si="7">B84</f>
        <v>150</v>
      </c>
      <c r="C85" s="54" t="str">
        <f t="shared" si="5"/>
        <v>CO2</v>
      </c>
      <c r="D85" s="55">
        <f>IFERROR( HLOOKUP(A85,H2O_thicknesses!$1:$2,2, 0),0)</f>
        <v>0</v>
      </c>
      <c r="E85" s="55">
        <f>IFERROR( HLOOKUP(A85,CO2_thicknesses!$1:$2,2),0)</f>
        <v>0</v>
      </c>
      <c r="F85" s="56">
        <f t="shared" ref="F85:F148" si="8">F84+1</f>
        <v>-445</v>
      </c>
      <c r="G85" s="57" t="str">
        <f t="shared" ref="G85:G148" si="9">IF(C84&lt;&gt;C85,C85,"")</f>
        <v/>
      </c>
      <c r="H85" s="58"/>
    </row>
    <row r="86" spans="1:8">
      <c r="A86" s="52">
        <f t="shared" si="6"/>
        <v>66000</v>
      </c>
      <c r="B86" s="53">
        <f t="shared" si="7"/>
        <v>150</v>
      </c>
      <c r="C86" s="54" t="str">
        <f t="shared" si="5"/>
        <v>CO2</v>
      </c>
      <c r="D86" s="55">
        <f>IFERROR( HLOOKUP(A86,H2O_thicknesses!$1:$2,2, 0),0)</f>
        <v>0</v>
      </c>
      <c r="E86" s="55">
        <f>IFERROR( HLOOKUP(A86,CO2_thicknesses!$1:$2,2),0)</f>
        <v>0</v>
      </c>
      <c r="F86" s="56">
        <f t="shared" si="8"/>
        <v>-444</v>
      </c>
      <c r="G86" s="57" t="str">
        <f t="shared" si="9"/>
        <v/>
      </c>
      <c r="H86" s="58"/>
    </row>
    <row r="87" spans="1:8">
      <c r="A87" s="52">
        <f t="shared" si="6"/>
        <v>67000</v>
      </c>
      <c r="B87" s="53">
        <f t="shared" si="7"/>
        <v>150</v>
      </c>
      <c r="C87" s="54" t="str">
        <f t="shared" si="5"/>
        <v>CO2</v>
      </c>
      <c r="D87" s="55">
        <f>IFERROR( HLOOKUP(A87,H2O_thicknesses!$1:$2,2, 0),0)</f>
        <v>0</v>
      </c>
      <c r="E87" s="55">
        <f>IFERROR( HLOOKUP(A87,CO2_thicknesses!$1:$2,2),0)</f>
        <v>0</v>
      </c>
      <c r="F87" s="56">
        <f t="shared" si="8"/>
        <v>-443</v>
      </c>
      <c r="G87" s="57" t="str">
        <f t="shared" si="9"/>
        <v/>
      </c>
      <c r="H87" s="58"/>
    </row>
    <row r="88" spans="1:8">
      <c r="A88" s="52">
        <f t="shared" si="6"/>
        <v>68000</v>
      </c>
      <c r="B88" s="53">
        <f t="shared" si="7"/>
        <v>150</v>
      </c>
      <c r="C88" s="54" t="str">
        <f t="shared" si="5"/>
        <v>CO2</v>
      </c>
      <c r="D88" s="55">
        <f>IFERROR( HLOOKUP(A88,H2O_thicknesses!$1:$2,2, 0),0)</f>
        <v>0</v>
      </c>
      <c r="E88" s="55">
        <f>IFERROR( HLOOKUP(A88,CO2_thicknesses!$1:$2,2),0)</f>
        <v>0</v>
      </c>
      <c r="F88" s="56">
        <f t="shared" si="8"/>
        <v>-442</v>
      </c>
      <c r="G88" s="57" t="str">
        <f t="shared" si="9"/>
        <v/>
      </c>
      <c r="H88" s="58"/>
    </row>
    <row r="89" spans="1:8">
      <c r="A89" s="52">
        <f t="shared" si="6"/>
        <v>69000</v>
      </c>
      <c r="B89" s="53">
        <f t="shared" si="7"/>
        <v>150</v>
      </c>
      <c r="C89" s="54" t="str">
        <f t="shared" si="5"/>
        <v>CO2</v>
      </c>
      <c r="D89" s="55">
        <f>IFERROR( HLOOKUP(A89,H2O_thicknesses!$1:$2,2, 0),0)</f>
        <v>0</v>
      </c>
      <c r="E89" s="55">
        <f>IFERROR( HLOOKUP(A89,CO2_thicknesses!$1:$2,2),0)</f>
        <v>0</v>
      </c>
      <c r="F89" s="56">
        <f t="shared" si="8"/>
        <v>-441</v>
      </c>
      <c r="G89" s="57" t="str">
        <f t="shared" si="9"/>
        <v/>
      </c>
      <c r="H89" s="58"/>
    </row>
    <row r="90" spans="1:8">
      <c r="A90" s="52">
        <f t="shared" si="6"/>
        <v>70000</v>
      </c>
      <c r="B90" s="53">
        <f t="shared" si="7"/>
        <v>150</v>
      </c>
      <c r="C90" s="54" t="str">
        <f t="shared" si="5"/>
        <v>CO2</v>
      </c>
      <c r="D90" s="55">
        <f>IFERROR( HLOOKUP(A90,H2O_thicknesses!$1:$2,2, 0),0)</f>
        <v>0</v>
      </c>
      <c r="E90" s="55">
        <f>IFERROR( HLOOKUP(A90,CO2_thicknesses!$1:$2,2),0)</f>
        <v>0</v>
      </c>
      <c r="F90" s="56">
        <f t="shared" si="8"/>
        <v>-440</v>
      </c>
      <c r="G90" s="57" t="str">
        <f t="shared" si="9"/>
        <v/>
      </c>
      <c r="H90" s="58"/>
    </row>
    <row r="91" spans="1:8">
      <c r="A91" s="52">
        <f t="shared" si="6"/>
        <v>71000</v>
      </c>
      <c r="B91" s="53">
        <f t="shared" si="7"/>
        <v>150</v>
      </c>
      <c r="C91" s="54" t="str">
        <f t="shared" si="5"/>
        <v>CO2</v>
      </c>
      <c r="D91" s="55">
        <f>IFERROR( HLOOKUP(A91,H2O_thicknesses!$1:$2,2, 0),0)</f>
        <v>0</v>
      </c>
      <c r="E91" s="55">
        <f>IFERROR( HLOOKUP(A91,CO2_thicknesses!$1:$2,2),0)</f>
        <v>0</v>
      </c>
      <c r="F91" s="56">
        <f t="shared" si="8"/>
        <v>-439</v>
      </c>
      <c r="G91" s="57" t="str">
        <f t="shared" si="9"/>
        <v/>
      </c>
      <c r="H91" s="58"/>
    </row>
    <row r="92" spans="1:8">
      <c r="A92" s="52">
        <f t="shared" si="6"/>
        <v>72000</v>
      </c>
      <c r="B92" s="53">
        <f t="shared" si="7"/>
        <v>150</v>
      </c>
      <c r="C92" s="54" t="str">
        <f t="shared" si="5"/>
        <v>CO2</v>
      </c>
      <c r="D92" s="55">
        <f>IFERROR( HLOOKUP(A92,H2O_thicknesses!$1:$2,2, 0),0)</f>
        <v>0</v>
      </c>
      <c r="E92" s="55">
        <f>IFERROR( HLOOKUP(A92,CO2_thicknesses!$1:$2,2),0)</f>
        <v>0</v>
      </c>
      <c r="F92" s="56">
        <f t="shared" si="8"/>
        <v>-438</v>
      </c>
      <c r="G92" s="57" t="str">
        <f t="shared" si="9"/>
        <v/>
      </c>
      <c r="H92" s="58"/>
    </row>
    <row r="93" spans="1:8">
      <c r="A93" s="52">
        <f t="shared" si="6"/>
        <v>73000</v>
      </c>
      <c r="B93" s="53">
        <f t="shared" si="7"/>
        <v>150</v>
      </c>
      <c r="C93" s="54" t="str">
        <f t="shared" si="5"/>
        <v>CO2</v>
      </c>
      <c r="D93" s="55">
        <f>IFERROR( HLOOKUP(A93,H2O_thicknesses!$1:$2,2, 0),0)</f>
        <v>0</v>
      </c>
      <c r="E93" s="55">
        <f>IFERROR( HLOOKUP(A93,CO2_thicknesses!$1:$2,2),0)</f>
        <v>0</v>
      </c>
      <c r="F93" s="56">
        <f t="shared" si="8"/>
        <v>-437</v>
      </c>
      <c r="G93" s="57" t="str">
        <f t="shared" si="9"/>
        <v/>
      </c>
      <c r="H93" s="58"/>
    </row>
    <row r="94" spans="1:8">
      <c r="A94" s="52">
        <f t="shared" si="6"/>
        <v>74000</v>
      </c>
      <c r="B94" s="53">
        <f t="shared" si="7"/>
        <v>150</v>
      </c>
      <c r="C94" s="54" t="str">
        <f t="shared" si="5"/>
        <v>CO2</v>
      </c>
      <c r="D94" s="55">
        <f>IFERROR( HLOOKUP(A94,H2O_thicknesses!$1:$2,2, 0),0)</f>
        <v>0</v>
      </c>
      <c r="E94" s="55">
        <f>IFERROR( HLOOKUP(A94,CO2_thicknesses!$1:$2,2),0)</f>
        <v>0</v>
      </c>
      <c r="F94" s="56">
        <f t="shared" si="8"/>
        <v>-436</v>
      </c>
      <c r="G94" s="57" t="str">
        <f t="shared" si="9"/>
        <v/>
      </c>
      <c r="H94" s="58"/>
    </row>
    <row r="95" spans="1:8">
      <c r="A95" s="52">
        <f t="shared" si="6"/>
        <v>75000</v>
      </c>
      <c r="B95" s="53">
        <f t="shared" si="7"/>
        <v>150</v>
      </c>
      <c r="C95" s="54" t="str">
        <f t="shared" si="5"/>
        <v>CO2</v>
      </c>
      <c r="D95" s="55">
        <f>IFERROR( HLOOKUP(A95,H2O_thicknesses!$1:$2,2, 0),0)</f>
        <v>0</v>
      </c>
      <c r="E95" s="55">
        <f>IFERROR( HLOOKUP(A95,CO2_thicknesses!$1:$2,2),0)</f>
        <v>0</v>
      </c>
      <c r="F95" s="56">
        <f t="shared" si="8"/>
        <v>-435</v>
      </c>
      <c r="G95" s="57" t="str">
        <f t="shared" si="9"/>
        <v/>
      </c>
      <c r="H95" s="58"/>
    </row>
    <row r="96" spans="1:8">
      <c r="A96" s="52">
        <f t="shared" si="6"/>
        <v>76000</v>
      </c>
      <c r="B96" s="53">
        <f t="shared" si="7"/>
        <v>150</v>
      </c>
      <c r="C96" s="54" t="str">
        <f t="shared" si="5"/>
        <v>CO2</v>
      </c>
      <c r="D96" s="55">
        <f>IFERROR( HLOOKUP(A96,H2O_thicknesses!$1:$2,2, 0),0)</f>
        <v>0</v>
      </c>
      <c r="E96" s="55">
        <f>IFERROR( HLOOKUP(A96,CO2_thicknesses!$1:$2,2),0)</f>
        <v>0</v>
      </c>
      <c r="F96" s="56">
        <f t="shared" si="8"/>
        <v>-434</v>
      </c>
      <c r="G96" s="57" t="str">
        <f t="shared" si="9"/>
        <v/>
      </c>
      <c r="H96" s="58"/>
    </row>
    <row r="97" spans="1:8">
      <c r="A97" s="52">
        <f t="shared" si="6"/>
        <v>77000</v>
      </c>
      <c r="B97" s="53">
        <f t="shared" si="7"/>
        <v>150</v>
      </c>
      <c r="C97" s="54" t="str">
        <f t="shared" si="5"/>
        <v>CO2</v>
      </c>
      <c r="D97" s="55">
        <f>IFERROR( HLOOKUP(A97,H2O_thicknesses!$1:$2,2, 0),0)</f>
        <v>0</v>
      </c>
      <c r="E97" s="55">
        <f>IFERROR( HLOOKUP(A97,CO2_thicknesses!$1:$2,2),0)</f>
        <v>0</v>
      </c>
      <c r="F97" s="56">
        <f t="shared" si="8"/>
        <v>-433</v>
      </c>
      <c r="G97" s="57" t="str">
        <f t="shared" si="9"/>
        <v/>
      </c>
      <c r="H97" s="58"/>
    </row>
    <row r="98" spans="1:8">
      <c r="A98" s="52">
        <f t="shared" si="6"/>
        <v>78000</v>
      </c>
      <c r="B98" s="53">
        <f t="shared" si="7"/>
        <v>150</v>
      </c>
      <c r="C98" s="54" t="str">
        <f t="shared" si="5"/>
        <v>CO2</v>
      </c>
      <c r="D98" s="55">
        <f>IFERROR( HLOOKUP(A98,H2O_thicknesses!$1:$2,2, 0),0)</f>
        <v>0</v>
      </c>
      <c r="E98" s="55">
        <f>IFERROR( HLOOKUP(A98,CO2_thicknesses!$1:$2,2),0)</f>
        <v>0</v>
      </c>
      <c r="F98" s="56">
        <f t="shared" si="8"/>
        <v>-432</v>
      </c>
      <c r="G98" s="57" t="str">
        <f t="shared" si="9"/>
        <v/>
      </c>
      <c r="H98" s="58"/>
    </row>
    <row r="99" spans="1:8">
      <c r="A99" s="52">
        <f t="shared" si="6"/>
        <v>79000</v>
      </c>
      <c r="B99" s="53">
        <f t="shared" si="7"/>
        <v>150</v>
      </c>
      <c r="C99" s="54" t="str">
        <f t="shared" si="5"/>
        <v>CO2</v>
      </c>
      <c r="D99" s="55">
        <f>IFERROR( HLOOKUP(A99,H2O_thicknesses!$1:$2,2, 0),0)</f>
        <v>0</v>
      </c>
      <c r="E99" s="55">
        <f>IFERROR( HLOOKUP(A99,CO2_thicknesses!$1:$2,2),0)</f>
        <v>0</v>
      </c>
      <c r="F99" s="56">
        <f t="shared" si="8"/>
        <v>-431</v>
      </c>
      <c r="G99" s="57" t="str">
        <f t="shared" si="9"/>
        <v/>
      </c>
      <c r="H99" s="58"/>
    </row>
    <row r="100" spans="1:8">
      <c r="A100" s="52">
        <f t="shared" si="6"/>
        <v>80000</v>
      </c>
      <c r="B100" s="53">
        <f t="shared" si="7"/>
        <v>150</v>
      </c>
      <c r="C100" s="54" t="str">
        <f t="shared" si="5"/>
        <v>CO2</v>
      </c>
      <c r="D100" s="55">
        <f>IFERROR( HLOOKUP(A100,H2O_thicknesses!$1:$2,2, 0),0)</f>
        <v>0</v>
      </c>
      <c r="E100" s="55">
        <f>IFERROR( HLOOKUP(A100,CO2_thicknesses!$1:$2,2),0)</f>
        <v>0</v>
      </c>
      <c r="F100" s="56">
        <f t="shared" si="8"/>
        <v>-430</v>
      </c>
      <c r="G100" s="57" t="str">
        <f t="shared" si="9"/>
        <v/>
      </c>
      <c r="H100" s="58"/>
    </row>
    <row r="101" spans="1:8">
      <c r="A101" s="52">
        <f t="shared" si="6"/>
        <v>81000</v>
      </c>
      <c r="B101" s="53">
        <f t="shared" si="7"/>
        <v>150</v>
      </c>
      <c r="C101" s="54" t="str">
        <f t="shared" si="5"/>
        <v>CO2</v>
      </c>
      <c r="D101" s="55">
        <f>IFERROR( HLOOKUP(A101,H2O_thicknesses!$1:$2,2, 0),0)</f>
        <v>0</v>
      </c>
      <c r="E101" s="55">
        <f>IFERROR( HLOOKUP(A101,CO2_thicknesses!$1:$2,2),0)</f>
        <v>0</v>
      </c>
      <c r="F101" s="56">
        <f t="shared" si="8"/>
        <v>-429</v>
      </c>
      <c r="G101" s="57" t="str">
        <f t="shared" si="9"/>
        <v/>
      </c>
      <c r="H101" s="58"/>
    </row>
    <row r="102" spans="1:8">
      <c r="A102" s="52">
        <f t="shared" si="6"/>
        <v>82000</v>
      </c>
      <c r="B102" s="53">
        <f t="shared" si="7"/>
        <v>150</v>
      </c>
      <c r="C102" s="54" t="str">
        <f t="shared" si="5"/>
        <v>CO2</v>
      </c>
      <c r="D102" s="55">
        <f>IFERROR( HLOOKUP(A102,H2O_thicknesses!$1:$2,2, 0),0)</f>
        <v>0</v>
      </c>
      <c r="E102" s="55">
        <f>IFERROR( HLOOKUP(A102,CO2_thicknesses!$1:$2,2),0)</f>
        <v>0</v>
      </c>
      <c r="F102" s="56">
        <f t="shared" si="8"/>
        <v>-428</v>
      </c>
      <c r="G102" s="57" t="str">
        <f t="shared" si="9"/>
        <v/>
      </c>
      <c r="H102" s="58"/>
    </row>
    <row r="103" spans="1:8">
      <c r="A103" s="52">
        <f t="shared" si="6"/>
        <v>83000</v>
      </c>
      <c r="B103" s="53">
        <f t="shared" si="7"/>
        <v>150</v>
      </c>
      <c r="C103" s="54" t="str">
        <f t="shared" si="5"/>
        <v>CO2</v>
      </c>
      <c r="D103" s="55">
        <f>IFERROR( HLOOKUP(A103,H2O_thicknesses!$1:$2,2, 0),0)</f>
        <v>0</v>
      </c>
      <c r="E103" s="55">
        <f>IFERROR( HLOOKUP(A103,CO2_thicknesses!$1:$2,2),0)</f>
        <v>0</v>
      </c>
      <c r="F103" s="56">
        <f t="shared" si="8"/>
        <v>-427</v>
      </c>
      <c r="G103" s="57" t="str">
        <f t="shared" si="9"/>
        <v/>
      </c>
      <c r="H103" s="58"/>
    </row>
    <row r="104" spans="1:8">
      <c r="A104" s="52">
        <f t="shared" si="6"/>
        <v>84000</v>
      </c>
      <c r="B104" s="53">
        <f t="shared" si="7"/>
        <v>150</v>
      </c>
      <c r="C104" s="54" t="str">
        <f t="shared" si="5"/>
        <v>CO2</v>
      </c>
      <c r="D104" s="55">
        <f>IFERROR( HLOOKUP(A104,H2O_thicknesses!$1:$2,2, 0),0)</f>
        <v>0</v>
      </c>
      <c r="E104" s="55">
        <f>IFERROR( HLOOKUP(A104,CO2_thicknesses!$1:$2,2),0)</f>
        <v>0</v>
      </c>
      <c r="F104" s="56">
        <f t="shared" si="8"/>
        <v>-426</v>
      </c>
      <c r="G104" s="57" t="str">
        <f t="shared" si="9"/>
        <v/>
      </c>
      <c r="H104" s="58"/>
    </row>
    <row r="105" spans="1:8">
      <c r="A105" s="52">
        <f t="shared" si="6"/>
        <v>85000</v>
      </c>
      <c r="B105" s="53">
        <f t="shared" si="7"/>
        <v>150</v>
      </c>
      <c r="C105" s="54" t="str">
        <f t="shared" si="5"/>
        <v>CO2</v>
      </c>
      <c r="D105" s="55">
        <f>IFERROR( HLOOKUP(A105,H2O_thicknesses!$1:$2,2, 0),0)</f>
        <v>0</v>
      </c>
      <c r="E105" s="55">
        <f>IFERROR( HLOOKUP(A105,CO2_thicknesses!$1:$2,2),0)</f>
        <v>0</v>
      </c>
      <c r="F105" s="56">
        <f t="shared" si="8"/>
        <v>-425</v>
      </c>
      <c r="G105" s="57" t="str">
        <f t="shared" si="9"/>
        <v/>
      </c>
      <c r="H105" s="58"/>
    </row>
    <row r="106" spans="1:8">
      <c r="A106" s="52">
        <f t="shared" si="6"/>
        <v>86000</v>
      </c>
      <c r="B106" s="53">
        <f t="shared" si="7"/>
        <v>150</v>
      </c>
      <c r="C106" s="54" t="str">
        <f t="shared" si="5"/>
        <v>CO2</v>
      </c>
      <c r="D106" s="55">
        <f>IFERROR( HLOOKUP(A106,H2O_thicknesses!$1:$2,2, 0),0)</f>
        <v>0</v>
      </c>
      <c r="E106" s="55">
        <f>IFERROR( HLOOKUP(A106,CO2_thicknesses!$1:$2,2),0)</f>
        <v>0</v>
      </c>
      <c r="F106" s="56">
        <f t="shared" si="8"/>
        <v>-424</v>
      </c>
      <c r="G106" s="57" t="str">
        <f t="shared" si="9"/>
        <v/>
      </c>
      <c r="H106" s="58"/>
    </row>
    <row r="107" spans="1:8">
      <c r="A107" s="52">
        <f t="shared" si="6"/>
        <v>87000</v>
      </c>
      <c r="B107" s="53">
        <f t="shared" si="7"/>
        <v>150</v>
      </c>
      <c r="C107" s="54" t="str">
        <f t="shared" si="5"/>
        <v>CO2</v>
      </c>
      <c r="D107" s="55">
        <f>IFERROR( HLOOKUP(A107,H2O_thicknesses!$1:$2,2, 0),0)</f>
        <v>0</v>
      </c>
      <c r="E107" s="55">
        <f>IFERROR( HLOOKUP(A107,CO2_thicknesses!$1:$2,2),0)</f>
        <v>0</v>
      </c>
      <c r="F107" s="56">
        <f t="shared" si="8"/>
        <v>-423</v>
      </c>
      <c r="G107" s="57" t="str">
        <f t="shared" si="9"/>
        <v/>
      </c>
      <c r="H107" s="58"/>
    </row>
    <row r="108" spans="1:8">
      <c r="A108" s="52">
        <f t="shared" si="6"/>
        <v>88000</v>
      </c>
      <c r="B108" s="53">
        <f t="shared" si="7"/>
        <v>150</v>
      </c>
      <c r="C108" s="54" t="str">
        <f t="shared" si="5"/>
        <v>CO2</v>
      </c>
      <c r="D108" s="55">
        <f>IFERROR( HLOOKUP(A108,H2O_thicknesses!$1:$2,2, 0),0)</f>
        <v>0</v>
      </c>
      <c r="E108" s="55">
        <f>IFERROR( HLOOKUP(A108,CO2_thicknesses!$1:$2,2),0)</f>
        <v>0</v>
      </c>
      <c r="F108" s="56">
        <f t="shared" si="8"/>
        <v>-422</v>
      </c>
      <c r="G108" s="57" t="str">
        <f t="shared" si="9"/>
        <v/>
      </c>
      <c r="H108" s="58"/>
    </row>
    <row r="109" spans="1:8">
      <c r="A109" s="52">
        <f t="shared" si="6"/>
        <v>89000</v>
      </c>
      <c r="B109" s="53">
        <f t="shared" si="7"/>
        <v>150</v>
      </c>
      <c r="C109" s="54" t="str">
        <f t="shared" si="5"/>
        <v>CO2</v>
      </c>
      <c r="D109" s="55">
        <f>IFERROR( HLOOKUP(A109,H2O_thicknesses!$1:$2,2, 0),0)</f>
        <v>0</v>
      </c>
      <c r="E109" s="55">
        <f>IFERROR( HLOOKUP(A109,CO2_thicknesses!$1:$2,2),0)</f>
        <v>0</v>
      </c>
      <c r="F109" s="56">
        <f t="shared" si="8"/>
        <v>-421</v>
      </c>
      <c r="G109" s="57" t="str">
        <f t="shared" si="9"/>
        <v/>
      </c>
      <c r="H109" s="58"/>
    </row>
    <row r="110" spans="1:8">
      <c r="A110" s="52">
        <f t="shared" si="6"/>
        <v>90000</v>
      </c>
      <c r="B110" s="53">
        <f t="shared" si="7"/>
        <v>150</v>
      </c>
      <c r="C110" s="54" t="str">
        <f t="shared" si="5"/>
        <v>CO2</v>
      </c>
      <c r="D110" s="55">
        <f>IFERROR( HLOOKUP(A110,H2O_thicknesses!$1:$2,2, 0),0)</f>
        <v>0</v>
      </c>
      <c r="E110" s="55">
        <f>IFERROR( HLOOKUP(A110,CO2_thicknesses!$1:$2,2),0)</f>
        <v>0</v>
      </c>
      <c r="F110" s="56">
        <f t="shared" si="8"/>
        <v>-420</v>
      </c>
      <c r="G110" s="57" t="str">
        <f t="shared" si="9"/>
        <v/>
      </c>
      <c r="H110" s="58"/>
    </row>
    <row r="111" spans="1:8">
      <c r="A111" s="52">
        <f t="shared" si="6"/>
        <v>91000</v>
      </c>
      <c r="B111" s="53">
        <f t="shared" si="7"/>
        <v>150</v>
      </c>
      <c r="C111" s="54" t="str">
        <f t="shared" si="5"/>
        <v>CO2</v>
      </c>
      <c r="D111" s="55">
        <f>IFERROR( HLOOKUP(A111,H2O_thicknesses!$1:$2,2, 0),0)</f>
        <v>0</v>
      </c>
      <c r="E111" s="55">
        <f>IFERROR( HLOOKUP(A111,CO2_thicknesses!$1:$2,2),0)</f>
        <v>0</v>
      </c>
      <c r="F111" s="56">
        <f t="shared" si="8"/>
        <v>-419</v>
      </c>
      <c r="G111" s="57" t="str">
        <f t="shared" si="9"/>
        <v/>
      </c>
      <c r="H111" s="58"/>
    </row>
    <row r="112" spans="1:8">
      <c r="A112" s="52">
        <f t="shared" si="6"/>
        <v>92000</v>
      </c>
      <c r="B112" s="53">
        <f t="shared" si="7"/>
        <v>150</v>
      </c>
      <c r="C112" s="54" t="str">
        <f t="shared" si="5"/>
        <v>CO2</v>
      </c>
      <c r="D112" s="55">
        <f>IFERROR( HLOOKUP(A112,H2O_thicknesses!$1:$2,2, 0),0)</f>
        <v>0</v>
      </c>
      <c r="E112" s="55">
        <f>IFERROR( HLOOKUP(A112,CO2_thicknesses!$1:$2,2),0)</f>
        <v>0</v>
      </c>
      <c r="F112" s="56">
        <f t="shared" si="8"/>
        <v>-418</v>
      </c>
      <c r="G112" s="57" t="str">
        <f t="shared" si="9"/>
        <v/>
      </c>
      <c r="H112" s="58"/>
    </row>
    <row r="113" spans="1:8">
      <c r="A113" s="52">
        <f t="shared" si="6"/>
        <v>93000</v>
      </c>
      <c r="B113" s="53">
        <f t="shared" si="7"/>
        <v>150</v>
      </c>
      <c r="C113" s="54" t="str">
        <f t="shared" si="5"/>
        <v>CO2</v>
      </c>
      <c r="D113" s="55">
        <f>IFERROR( HLOOKUP(A113,H2O_thicknesses!$1:$2,2, 0),0)</f>
        <v>0</v>
      </c>
      <c r="E113" s="55">
        <f>IFERROR( HLOOKUP(A113,CO2_thicknesses!$1:$2,2),0)</f>
        <v>0</v>
      </c>
      <c r="F113" s="56">
        <f t="shared" si="8"/>
        <v>-417</v>
      </c>
      <c r="G113" s="57" t="str">
        <f t="shared" si="9"/>
        <v/>
      </c>
      <c r="H113" s="58"/>
    </row>
    <row r="114" spans="1:8">
      <c r="A114" s="52">
        <f t="shared" si="6"/>
        <v>94000</v>
      </c>
      <c r="B114" s="53">
        <f t="shared" si="7"/>
        <v>150</v>
      </c>
      <c r="C114" s="54" t="str">
        <f t="shared" si="5"/>
        <v>CO2</v>
      </c>
      <c r="D114" s="55">
        <f>IFERROR( HLOOKUP(A114,H2O_thicknesses!$1:$2,2, 0),0)</f>
        <v>0</v>
      </c>
      <c r="E114" s="55">
        <f>IFERROR( HLOOKUP(A114,CO2_thicknesses!$1:$2,2),0)</f>
        <v>0</v>
      </c>
      <c r="F114" s="56">
        <f t="shared" si="8"/>
        <v>-416</v>
      </c>
      <c r="G114" s="57" t="str">
        <f t="shared" si="9"/>
        <v/>
      </c>
      <c r="H114" s="58"/>
    </row>
    <row r="115" spans="1:8">
      <c r="A115" s="52">
        <f t="shared" si="6"/>
        <v>95000</v>
      </c>
      <c r="B115" s="53">
        <f t="shared" si="7"/>
        <v>150</v>
      </c>
      <c r="C115" s="54" t="str">
        <f t="shared" si="5"/>
        <v>CO2</v>
      </c>
      <c r="D115" s="55">
        <f>IFERROR( HLOOKUP(A115,H2O_thicknesses!$1:$2,2, 0),0)</f>
        <v>0</v>
      </c>
      <c r="E115" s="55">
        <f>IFERROR( HLOOKUP(A115,CO2_thicknesses!$1:$2,2),0)</f>
        <v>0</v>
      </c>
      <c r="F115" s="56">
        <f t="shared" si="8"/>
        <v>-415</v>
      </c>
      <c r="G115" s="57" t="str">
        <f t="shared" si="9"/>
        <v/>
      </c>
      <c r="H115" s="58"/>
    </row>
    <row r="116" spans="1:8">
      <c r="A116" s="52">
        <f t="shared" si="6"/>
        <v>96000</v>
      </c>
      <c r="B116" s="53">
        <f t="shared" si="7"/>
        <v>150</v>
      </c>
      <c r="C116" s="54" t="str">
        <f t="shared" si="5"/>
        <v>CO2</v>
      </c>
      <c r="D116" s="55">
        <f>IFERROR( HLOOKUP(A116,H2O_thicknesses!$1:$2,2, 0),0)</f>
        <v>0</v>
      </c>
      <c r="E116" s="55">
        <f>IFERROR( HLOOKUP(A116,CO2_thicknesses!$1:$2,2),0)</f>
        <v>0</v>
      </c>
      <c r="F116" s="56">
        <f t="shared" si="8"/>
        <v>-414</v>
      </c>
      <c r="G116" s="57" t="str">
        <f t="shared" si="9"/>
        <v/>
      </c>
      <c r="H116" s="58"/>
    </row>
    <row r="117" spans="1:8">
      <c r="A117" s="52">
        <f t="shared" si="6"/>
        <v>97000</v>
      </c>
      <c r="B117" s="53">
        <f t="shared" si="7"/>
        <v>150</v>
      </c>
      <c r="C117" s="54" t="str">
        <f t="shared" si="5"/>
        <v>H2O</v>
      </c>
      <c r="D117" s="55">
        <f>IFERROR( HLOOKUP(A117,H2O_thicknesses!$1:$2,2, 0),0)</f>
        <v>0.151326171087766</v>
      </c>
      <c r="E117" s="55">
        <f>IFERROR( HLOOKUP(A117,CO2_thicknesses!$1:$2,2),0)</f>
        <v>0</v>
      </c>
      <c r="F117" s="56">
        <f t="shared" si="8"/>
        <v>-413</v>
      </c>
      <c r="G117" s="57" t="str">
        <f t="shared" si="9"/>
        <v>H2O</v>
      </c>
      <c r="H117" s="58"/>
    </row>
    <row r="118" spans="1:8">
      <c r="A118" s="52">
        <f t="shared" si="6"/>
        <v>98000</v>
      </c>
      <c r="B118" s="53">
        <f t="shared" si="7"/>
        <v>150</v>
      </c>
      <c r="C118" s="54" t="str">
        <f t="shared" si="5"/>
        <v>H2O</v>
      </c>
      <c r="D118" s="55">
        <f>IFERROR( HLOOKUP(A118,H2O_thicknesses!$1:$2,2, 0),0)</f>
        <v>0.156749754978464</v>
      </c>
      <c r="E118" s="55">
        <f>IFERROR( HLOOKUP(A118,CO2_thicknesses!$1:$2,2),0)</f>
        <v>0</v>
      </c>
      <c r="F118" s="56">
        <f t="shared" si="8"/>
        <v>-412</v>
      </c>
      <c r="G118" s="57" t="str">
        <f t="shared" si="9"/>
        <v/>
      </c>
      <c r="H118" s="58"/>
    </row>
    <row r="119" spans="1:8">
      <c r="A119" s="52">
        <f t="shared" si="6"/>
        <v>99000</v>
      </c>
      <c r="B119" s="53">
        <f t="shared" si="7"/>
        <v>150</v>
      </c>
      <c r="C119" s="54" t="str">
        <f t="shared" si="5"/>
        <v>H2O</v>
      </c>
      <c r="D119" s="55">
        <f>IFERROR( HLOOKUP(A119,H2O_thicknesses!$1:$2,2, 0),0)</f>
        <v>0.36555573591360002</v>
      </c>
      <c r="E119" s="55">
        <f>IFERROR( HLOOKUP(A119,CO2_thicknesses!$1:$2,2),0)</f>
        <v>0</v>
      </c>
      <c r="F119" s="56">
        <f t="shared" si="8"/>
        <v>-411</v>
      </c>
      <c r="G119" s="57" t="str">
        <f t="shared" si="9"/>
        <v/>
      </c>
      <c r="H119" s="58"/>
    </row>
    <row r="120" spans="1:8">
      <c r="A120" s="52">
        <f t="shared" si="6"/>
        <v>100000</v>
      </c>
      <c r="B120" s="53">
        <f t="shared" si="7"/>
        <v>150</v>
      </c>
      <c r="C120" s="54" t="str">
        <f t="shared" si="5"/>
        <v>H2O</v>
      </c>
      <c r="D120" s="55">
        <f>IFERROR( HLOOKUP(A120,H2O_thicknesses!$1:$2,2, 0),0)</f>
        <v>0.25215738732276399</v>
      </c>
      <c r="E120" s="55">
        <f>IFERROR( HLOOKUP(A120,CO2_thicknesses!$1:$2,2),0)</f>
        <v>0</v>
      </c>
      <c r="F120" s="56">
        <f t="shared" si="8"/>
        <v>-410</v>
      </c>
      <c r="G120" s="57" t="str">
        <f t="shared" si="9"/>
        <v/>
      </c>
      <c r="H120" s="58"/>
    </row>
    <row r="121" spans="1:8">
      <c r="A121" s="52">
        <f t="shared" si="6"/>
        <v>101000</v>
      </c>
      <c r="B121" s="53">
        <f t="shared" si="7"/>
        <v>150</v>
      </c>
      <c r="C121" s="54" t="str">
        <f t="shared" si="5"/>
        <v>H2O</v>
      </c>
      <c r="D121" s="55">
        <f>IFERROR( HLOOKUP(A121,H2O_thicknesses!$1:$2,2, 0),0)</f>
        <v>0.22811218936531699</v>
      </c>
      <c r="E121" s="55">
        <f>IFERROR( HLOOKUP(A121,CO2_thicknesses!$1:$2,2),0)</f>
        <v>0</v>
      </c>
      <c r="F121" s="56">
        <f t="shared" si="8"/>
        <v>-409</v>
      </c>
      <c r="G121" s="57" t="str">
        <f t="shared" si="9"/>
        <v/>
      </c>
      <c r="H121" s="58"/>
    </row>
    <row r="122" spans="1:8">
      <c r="A122" s="52">
        <f t="shared" si="6"/>
        <v>102000</v>
      </c>
      <c r="B122" s="53">
        <f t="shared" si="7"/>
        <v>150</v>
      </c>
      <c r="C122" s="54" t="str">
        <f t="shared" si="5"/>
        <v>H2O</v>
      </c>
      <c r="D122" s="55">
        <f>IFERROR( HLOOKUP(A122,H2O_thicknesses!$1:$2,2, 0),0)</f>
        <v>0.232632329661183</v>
      </c>
      <c r="E122" s="55">
        <f>IFERROR( HLOOKUP(A122,CO2_thicknesses!$1:$2,2),0)</f>
        <v>0</v>
      </c>
      <c r="F122" s="56">
        <f t="shared" si="8"/>
        <v>-408</v>
      </c>
      <c r="G122" s="57" t="str">
        <f t="shared" si="9"/>
        <v/>
      </c>
      <c r="H122" s="58"/>
    </row>
    <row r="123" spans="1:8">
      <c r="A123" s="52">
        <f t="shared" si="6"/>
        <v>103000</v>
      </c>
      <c r="B123" s="53">
        <f t="shared" si="7"/>
        <v>150</v>
      </c>
      <c r="C123" s="54" t="str">
        <f t="shared" si="5"/>
        <v>H2O</v>
      </c>
      <c r="D123" s="55">
        <f>IFERROR( HLOOKUP(A123,H2O_thicknesses!$1:$2,2, 0),0)</f>
        <v>0.248735312025674</v>
      </c>
      <c r="E123" s="55">
        <f>IFERROR( HLOOKUP(A123,CO2_thicknesses!$1:$2,2),0)</f>
        <v>0</v>
      </c>
      <c r="F123" s="56">
        <f t="shared" si="8"/>
        <v>-407</v>
      </c>
      <c r="G123" s="57" t="str">
        <f t="shared" si="9"/>
        <v/>
      </c>
      <c r="H123" s="58"/>
    </row>
    <row r="124" spans="1:8">
      <c r="A124" s="52">
        <f t="shared" si="6"/>
        <v>104000</v>
      </c>
      <c r="B124" s="53">
        <f t="shared" si="7"/>
        <v>150</v>
      </c>
      <c r="C124" s="54" t="str">
        <f t="shared" si="5"/>
        <v>H2O</v>
      </c>
      <c r="D124" s="55">
        <f>IFERROR( HLOOKUP(A124,H2O_thicknesses!$1:$2,2, 0),0)</f>
        <v>0.23862086677254499</v>
      </c>
      <c r="E124" s="55">
        <f>IFERROR( HLOOKUP(A124,CO2_thicknesses!$1:$2,2),0)</f>
        <v>0</v>
      </c>
      <c r="F124" s="56">
        <f t="shared" si="8"/>
        <v>-406</v>
      </c>
      <c r="G124" s="57" t="str">
        <f t="shared" si="9"/>
        <v/>
      </c>
      <c r="H124" s="58"/>
    </row>
    <row r="125" spans="1:8">
      <c r="A125" s="52">
        <f t="shared" si="6"/>
        <v>105000</v>
      </c>
      <c r="B125" s="53">
        <f t="shared" si="7"/>
        <v>150</v>
      </c>
      <c r="C125" s="54" t="str">
        <f t="shared" si="5"/>
        <v>H2O</v>
      </c>
      <c r="D125" s="55">
        <f>IFERROR( HLOOKUP(A125,H2O_thicknesses!$1:$2,2, 0),0)</f>
        <v>0.23635869800874301</v>
      </c>
      <c r="E125" s="55">
        <f>IFERROR( HLOOKUP(A125,CO2_thicknesses!$1:$2,2),0)</f>
        <v>0</v>
      </c>
      <c r="F125" s="56">
        <f t="shared" si="8"/>
        <v>-405</v>
      </c>
      <c r="G125" s="57" t="str">
        <f t="shared" si="9"/>
        <v/>
      </c>
      <c r="H125" s="58"/>
    </row>
    <row r="126" spans="1:8">
      <c r="A126" s="52">
        <f t="shared" si="6"/>
        <v>106000</v>
      </c>
      <c r="B126" s="53">
        <f t="shared" si="7"/>
        <v>150</v>
      </c>
      <c r="C126" s="54" t="str">
        <f t="shared" si="5"/>
        <v>H2O</v>
      </c>
      <c r="D126" s="55">
        <f>IFERROR( HLOOKUP(A126,H2O_thicknesses!$1:$2,2, 0),0)</f>
        <v>0.214432119366601</v>
      </c>
      <c r="E126" s="55">
        <f>IFERROR( HLOOKUP(A126,CO2_thicknesses!$1:$2,2),0)</f>
        <v>0</v>
      </c>
      <c r="F126" s="56">
        <f t="shared" si="8"/>
        <v>-404</v>
      </c>
      <c r="G126" s="57" t="str">
        <f t="shared" si="9"/>
        <v/>
      </c>
      <c r="H126" s="58"/>
    </row>
    <row r="127" spans="1:8">
      <c r="A127" s="52">
        <f t="shared" si="6"/>
        <v>107000</v>
      </c>
      <c r="B127" s="53">
        <f t="shared" si="7"/>
        <v>150</v>
      </c>
      <c r="C127" s="54" t="str">
        <f t="shared" si="5"/>
        <v>H2O</v>
      </c>
      <c r="D127" s="55">
        <f>IFERROR( HLOOKUP(A127,H2O_thicknesses!$1:$2,2, 0),0)</f>
        <v>0.227468725793187</v>
      </c>
      <c r="E127" s="55">
        <f>IFERROR( HLOOKUP(A127,CO2_thicknesses!$1:$2,2),0)</f>
        <v>0</v>
      </c>
      <c r="F127" s="56">
        <f t="shared" si="8"/>
        <v>-403</v>
      </c>
      <c r="G127" s="57" t="str">
        <f t="shared" si="9"/>
        <v/>
      </c>
      <c r="H127" s="58"/>
    </row>
    <row r="128" spans="1:8">
      <c r="A128" s="52">
        <f t="shared" si="6"/>
        <v>108000</v>
      </c>
      <c r="B128" s="53">
        <f t="shared" si="7"/>
        <v>150</v>
      </c>
      <c r="C128" s="54" t="str">
        <f t="shared" si="5"/>
        <v>H2O</v>
      </c>
      <c r="D128" s="55">
        <f>IFERROR( HLOOKUP(A128,H2O_thicknesses!$1:$2,2, 0),0)</f>
        <v>0.228373329908932</v>
      </c>
      <c r="E128" s="55">
        <f>IFERROR( HLOOKUP(A128,CO2_thicknesses!$1:$2,2),0)</f>
        <v>0</v>
      </c>
      <c r="F128" s="56">
        <f t="shared" si="8"/>
        <v>-402</v>
      </c>
      <c r="G128" s="57" t="str">
        <f t="shared" si="9"/>
        <v/>
      </c>
      <c r="H128" s="58"/>
    </row>
    <row r="129" spans="1:8">
      <c r="A129" s="52">
        <f t="shared" si="6"/>
        <v>109000</v>
      </c>
      <c r="B129" s="53">
        <f t="shared" si="7"/>
        <v>150</v>
      </c>
      <c r="C129" s="54" t="str">
        <f t="shared" si="5"/>
        <v>H2O</v>
      </c>
      <c r="D129" s="55">
        <f>IFERROR( HLOOKUP(A129,H2O_thicknesses!$1:$2,2, 0),0)</f>
        <v>0.22512009372641201</v>
      </c>
      <c r="E129" s="55">
        <f>IFERROR( HLOOKUP(A129,CO2_thicknesses!$1:$2,2),0)</f>
        <v>0</v>
      </c>
      <c r="F129" s="56">
        <f t="shared" si="8"/>
        <v>-401</v>
      </c>
      <c r="G129" s="57" t="str">
        <f t="shared" si="9"/>
        <v/>
      </c>
      <c r="H129" s="58"/>
    </row>
    <row r="130" spans="1:8">
      <c r="A130" s="52">
        <f t="shared" si="6"/>
        <v>110000</v>
      </c>
      <c r="B130" s="53">
        <f t="shared" si="7"/>
        <v>150</v>
      </c>
      <c r="C130" s="54" t="str">
        <f t="shared" si="5"/>
        <v>H2O</v>
      </c>
      <c r="D130" s="55">
        <f>IFERROR( HLOOKUP(A130,H2O_thicknesses!$1:$2,2, 0),0)</f>
        <v>0.224032223478562</v>
      </c>
      <c r="E130" s="55">
        <f>IFERROR( HLOOKUP(A130,CO2_thicknesses!$1:$2,2),0)</f>
        <v>0</v>
      </c>
      <c r="F130" s="56">
        <f t="shared" si="8"/>
        <v>-400</v>
      </c>
      <c r="G130" s="57" t="str">
        <f t="shared" si="9"/>
        <v/>
      </c>
      <c r="H130" s="58"/>
    </row>
    <row r="131" spans="1:8">
      <c r="A131" s="52">
        <f t="shared" si="6"/>
        <v>111000</v>
      </c>
      <c r="B131" s="53">
        <f t="shared" si="7"/>
        <v>150</v>
      </c>
      <c r="C131" s="54" t="str">
        <f t="shared" si="5"/>
        <v>H2O</v>
      </c>
      <c r="D131" s="55">
        <f>IFERROR( HLOOKUP(A131,H2O_thicknesses!$1:$2,2, 0),0)</f>
        <v>0.22492752112780601</v>
      </c>
      <c r="E131" s="55">
        <f>IFERROR( HLOOKUP(A131,CO2_thicknesses!$1:$2,2),0)</f>
        <v>0</v>
      </c>
      <c r="F131" s="56">
        <f t="shared" si="8"/>
        <v>-399</v>
      </c>
      <c r="G131" s="57" t="str">
        <f t="shared" si="9"/>
        <v/>
      </c>
      <c r="H131" s="58"/>
    </row>
    <row r="132" spans="1:8">
      <c r="A132" s="52">
        <f t="shared" si="6"/>
        <v>112000</v>
      </c>
      <c r="B132" s="53">
        <f t="shared" si="7"/>
        <v>150</v>
      </c>
      <c r="C132" s="54" t="str">
        <f t="shared" si="5"/>
        <v>H2O</v>
      </c>
      <c r="D132" s="55">
        <f>IFERROR( HLOOKUP(A132,H2O_thicknesses!$1:$2,2, 0),0)</f>
        <v>0.21674315603336999</v>
      </c>
      <c r="E132" s="55">
        <f>IFERROR( HLOOKUP(A132,CO2_thicknesses!$1:$2,2),0)</f>
        <v>0</v>
      </c>
      <c r="F132" s="56">
        <f t="shared" si="8"/>
        <v>-398</v>
      </c>
      <c r="G132" s="57" t="str">
        <f t="shared" si="9"/>
        <v/>
      </c>
      <c r="H132" s="58"/>
    </row>
    <row r="133" spans="1:8">
      <c r="A133" s="52">
        <f t="shared" si="6"/>
        <v>113000</v>
      </c>
      <c r="B133" s="53">
        <f t="shared" si="7"/>
        <v>150</v>
      </c>
      <c r="C133" s="54" t="str">
        <f t="shared" si="5"/>
        <v>H2O</v>
      </c>
      <c r="D133" s="55">
        <f>IFERROR( HLOOKUP(A133,H2O_thicknesses!$1:$2,2, 0),0)</f>
        <v>0.22492752112780601</v>
      </c>
      <c r="E133" s="55">
        <f>IFERROR( HLOOKUP(A133,CO2_thicknesses!$1:$2,2),0)</f>
        <v>0</v>
      </c>
      <c r="F133" s="56">
        <f t="shared" si="8"/>
        <v>-397</v>
      </c>
      <c r="G133" s="57" t="str">
        <f t="shared" si="9"/>
        <v/>
      </c>
      <c r="H133" s="58"/>
    </row>
    <row r="134" spans="1:8">
      <c r="A134" s="52">
        <f t="shared" si="6"/>
        <v>114000</v>
      </c>
      <c r="B134" s="53">
        <f t="shared" si="7"/>
        <v>150</v>
      </c>
      <c r="C134" s="54" t="str">
        <f t="shared" si="5"/>
        <v>H2O</v>
      </c>
      <c r="D134" s="55">
        <f>IFERROR( HLOOKUP(A134,H2O_thicknesses!$1:$2,2, 0),0)</f>
        <v>0.385163582036887</v>
      </c>
      <c r="E134" s="55">
        <f>IFERROR( HLOOKUP(A134,CO2_thicknesses!$1:$2,2),0)</f>
        <v>0</v>
      </c>
      <c r="F134" s="56">
        <f t="shared" si="8"/>
        <v>-396</v>
      </c>
      <c r="G134" s="57" t="str">
        <f t="shared" si="9"/>
        <v/>
      </c>
      <c r="H134" s="58"/>
    </row>
    <row r="135" spans="1:8">
      <c r="A135" s="52">
        <f t="shared" si="6"/>
        <v>115000</v>
      </c>
      <c r="B135" s="53">
        <f t="shared" si="7"/>
        <v>150</v>
      </c>
      <c r="C135" s="54" t="str">
        <f t="shared" si="5"/>
        <v>H2O</v>
      </c>
      <c r="D135" s="55">
        <f>IFERROR( HLOOKUP(A135,H2O_thicknesses!$1:$2,2, 0),0)</f>
        <v>0.32461952987255699</v>
      </c>
      <c r="E135" s="55">
        <f>IFERROR( HLOOKUP(A135,CO2_thicknesses!$1:$2,2),0)</f>
        <v>0</v>
      </c>
      <c r="F135" s="56">
        <f t="shared" si="8"/>
        <v>-395</v>
      </c>
      <c r="G135" s="57" t="str">
        <f t="shared" si="9"/>
        <v/>
      </c>
      <c r="H135" s="58"/>
    </row>
    <row r="136" spans="1:8">
      <c r="A136" s="52">
        <f t="shared" si="6"/>
        <v>116000</v>
      </c>
      <c r="B136" s="53">
        <f t="shared" si="7"/>
        <v>150</v>
      </c>
      <c r="C136" s="54" t="str">
        <f t="shared" si="5"/>
        <v>H2O</v>
      </c>
      <c r="D136" s="55">
        <f>IFERROR( HLOOKUP(A136,H2O_thicknesses!$1:$2,2, 0),0)</f>
        <v>0.27518415542557401</v>
      </c>
      <c r="E136" s="55">
        <f>IFERROR( HLOOKUP(A136,CO2_thicknesses!$1:$2,2),0)</f>
        <v>0</v>
      </c>
      <c r="F136" s="56">
        <f t="shared" si="8"/>
        <v>-394</v>
      </c>
      <c r="G136" s="57" t="str">
        <f t="shared" si="9"/>
        <v/>
      </c>
      <c r="H136" s="58"/>
    </row>
    <row r="137" spans="1:8">
      <c r="A137" s="52">
        <f t="shared" si="6"/>
        <v>117000</v>
      </c>
      <c r="B137" s="53">
        <f t="shared" si="7"/>
        <v>150</v>
      </c>
      <c r="C137" s="54" t="str">
        <f t="shared" si="5"/>
        <v>H2O</v>
      </c>
      <c r="D137" s="55">
        <f>IFERROR( HLOOKUP(A137,H2O_thicknesses!$1:$2,2, 0),0)</f>
        <v>0.26055967556519599</v>
      </c>
      <c r="E137" s="55">
        <f>IFERROR( HLOOKUP(A137,CO2_thicknesses!$1:$2,2),0)</f>
        <v>0</v>
      </c>
      <c r="F137" s="56">
        <f t="shared" si="8"/>
        <v>-393</v>
      </c>
      <c r="G137" s="57" t="str">
        <f t="shared" si="9"/>
        <v/>
      </c>
      <c r="H137" s="58"/>
    </row>
    <row r="138" spans="1:8">
      <c r="A138" s="52">
        <f t="shared" si="6"/>
        <v>118000</v>
      </c>
      <c r="B138" s="53">
        <f t="shared" si="7"/>
        <v>150</v>
      </c>
      <c r="C138" s="54" t="str">
        <f t="shared" si="5"/>
        <v>H2O</v>
      </c>
      <c r="D138" s="55">
        <f>IFERROR( HLOOKUP(A138,H2O_thicknesses!$1:$2,2, 0),0)</f>
        <v>0.239279248405319</v>
      </c>
      <c r="E138" s="55">
        <f>IFERROR( HLOOKUP(A138,CO2_thicknesses!$1:$2,2),0)</f>
        <v>0</v>
      </c>
      <c r="F138" s="56">
        <f t="shared" si="8"/>
        <v>-392</v>
      </c>
      <c r="G138" s="57" t="str">
        <f t="shared" si="9"/>
        <v/>
      </c>
      <c r="H138" s="58"/>
    </row>
    <row r="139" spans="1:8">
      <c r="A139" s="52">
        <f t="shared" si="6"/>
        <v>119000</v>
      </c>
      <c r="B139" s="53">
        <f t="shared" si="7"/>
        <v>150</v>
      </c>
      <c r="C139" s="54" t="str">
        <f t="shared" si="5"/>
        <v>H2O</v>
      </c>
      <c r="D139" s="55">
        <f>IFERROR( HLOOKUP(A139,H2O_thicknesses!$1:$2,2, 0),0)</f>
        <v>0.203006870327475</v>
      </c>
      <c r="E139" s="55">
        <f>IFERROR( HLOOKUP(A139,CO2_thicknesses!$1:$2,2),0)</f>
        <v>0</v>
      </c>
      <c r="F139" s="56">
        <f t="shared" si="8"/>
        <v>-391</v>
      </c>
      <c r="G139" s="57" t="str">
        <f t="shared" si="9"/>
        <v/>
      </c>
      <c r="H139" s="58"/>
    </row>
    <row r="140" spans="1:8">
      <c r="A140" s="52">
        <f t="shared" si="6"/>
        <v>120000</v>
      </c>
      <c r="B140" s="53">
        <f t="shared" si="7"/>
        <v>150</v>
      </c>
      <c r="C140" s="54" t="str">
        <f t="shared" si="5"/>
        <v>H2O</v>
      </c>
      <c r="D140" s="55">
        <f>IFERROR( HLOOKUP(A140,H2O_thicknesses!$1:$2,2, 0),0)</f>
        <v>0.198247907108378</v>
      </c>
      <c r="E140" s="55">
        <f>IFERROR( HLOOKUP(A140,CO2_thicknesses!$1:$2,2),0)</f>
        <v>0</v>
      </c>
      <c r="F140" s="56">
        <f t="shared" si="8"/>
        <v>-390</v>
      </c>
      <c r="G140" s="57" t="str">
        <f t="shared" si="9"/>
        <v/>
      </c>
      <c r="H140" s="58"/>
    </row>
    <row r="141" spans="1:8">
      <c r="A141" s="52">
        <f t="shared" si="6"/>
        <v>121000</v>
      </c>
      <c r="B141" s="53">
        <f t="shared" si="7"/>
        <v>150</v>
      </c>
      <c r="C141" s="54" t="str">
        <f t="shared" si="5"/>
        <v>H2O</v>
      </c>
      <c r="D141" s="55">
        <f>IFERROR( HLOOKUP(A141,H2O_thicknesses!$1:$2,2, 0),0)</f>
        <v>0.19508852921678499</v>
      </c>
      <c r="E141" s="55">
        <f>IFERROR( HLOOKUP(A141,CO2_thicknesses!$1:$2,2),0)</f>
        <v>0</v>
      </c>
      <c r="F141" s="56">
        <f t="shared" si="8"/>
        <v>-389</v>
      </c>
      <c r="G141" s="57" t="str">
        <f t="shared" si="9"/>
        <v/>
      </c>
      <c r="H141" s="58"/>
    </row>
    <row r="142" spans="1:8">
      <c r="A142" s="52">
        <f t="shared" si="6"/>
        <v>122000</v>
      </c>
      <c r="B142" s="53">
        <f t="shared" si="7"/>
        <v>150</v>
      </c>
      <c r="C142" s="54" t="str">
        <f t="shared" si="5"/>
        <v>H2O</v>
      </c>
      <c r="D142" s="55">
        <f>IFERROR( HLOOKUP(A142,H2O_thicknesses!$1:$2,2, 0),0)</f>
        <v>0.18983502690141299</v>
      </c>
      <c r="E142" s="55">
        <f>IFERROR( HLOOKUP(A142,CO2_thicknesses!$1:$2,2),0)</f>
        <v>0</v>
      </c>
      <c r="F142" s="56">
        <f t="shared" si="8"/>
        <v>-388</v>
      </c>
      <c r="G142" s="57" t="str">
        <f t="shared" si="9"/>
        <v/>
      </c>
      <c r="H142" s="58"/>
    </row>
    <row r="143" spans="1:8">
      <c r="A143" s="52">
        <f t="shared" si="6"/>
        <v>123000</v>
      </c>
      <c r="B143" s="53">
        <f t="shared" si="7"/>
        <v>150</v>
      </c>
      <c r="C143" s="54" t="str">
        <f t="shared" si="5"/>
        <v>H2O</v>
      </c>
      <c r="D143" s="55">
        <f>IFERROR( HLOOKUP(A143,H2O_thicknesses!$1:$2,2, 0),0)</f>
        <v>0.185194159782682</v>
      </c>
      <c r="E143" s="55">
        <f>IFERROR( HLOOKUP(A143,CO2_thicknesses!$1:$2,2),0)</f>
        <v>0</v>
      </c>
      <c r="F143" s="56">
        <f t="shared" si="8"/>
        <v>-387</v>
      </c>
      <c r="G143" s="57" t="str">
        <f t="shared" si="9"/>
        <v/>
      </c>
      <c r="H143" s="58"/>
    </row>
    <row r="144" spans="1:8">
      <c r="A144" s="52">
        <f t="shared" si="6"/>
        <v>124000</v>
      </c>
      <c r="B144" s="53">
        <f t="shared" si="7"/>
        <v>150</v>
      </c>
      <c r="C144" s="54" t="str">
        <f t="shared" si="5"/>
        <v>H2O</v>
      </c>
      <c r="D144" s="55">
        <f>IFERROR( HLOOKUP(A144,H2O_thicknesses!$1:$2,2, 0),0)</f>
        <v>0.180699681715035</v>
      </c>
      <c r="E144" s="55">
        <f>IFERROR( HLOOKUP(A144,CO2_thicknesses!$1:$2,2),0)</f>
        <v>0</v>
      </c>
      <c r="F144" s="56">
        <f t="shared" si="8"/>
        <v>-386</v>
      </c>
      <c r="G144" s="57" t="str">
        <f t="shared" si="9"/>
        <v/>
      </c>
      <c r="H144" s="58"/>
    </row>
    <row r="145" spans="1:8">
      <c r="A145" s="52">
        <f t="shared" si="6"/>
        <v>125000</v>
      </c>
      <c r="B145" s="53">
        <f t="shared" si="7"/>
        <v>150</v>
      </c>
      <c r="C145" s="54" t="str">
        <f t="shared" si="5"/>
        <v>H2O</v>
      </c>
      <c r="D145" s="55">
        <f>IFERROR( HLOOKUP(A145,H2O_thicknesses!$1:$2,2, 0),0)</f>
        <v>0.17631317508807401</v>
      </c>
      <c r="E145" s="55">
        <f>IFERROR( HLOOKUP(A145,CO2_thicknesses!$1:$2,2),0)</f>
        <v>0</v>
      </c>
      <c r="F145" s="56">
        <f t="shared" si="8"/>
        <v>-385</v>
      </c>
      <c r="G145" s="57" t="str">
        <f t="shared" si="9"/>
        <v/>
      </c>
      <c r="H145" s="58"/>
    </row>
    <row r="146" spans="1:8">
      <c r="A146" s="52">
        <f t="shared" si="6"/>
        <v>126000</v>
      </c>
      <c r="B146" s="53">
        <f t="shared" si="7"/>
        <v>150</v>
      </c>
      <c r="C146" s="54" t="str">
        <f t="shared" si="5"/>
        <v>H2O</v>
      </c>
      <c r="D146" s="55">
        <f>IFERROR( HLOOKUP(A146,H2O_thicknesses!$1:$2,2, 0),0)</f>
        <v>0.17661160245633201</v>
      </c>
      <c r="E146" s="55">
        <f>IFERROR( HLOOKUP(A146,CO2_thicknesses!$1:$2,2),0)</f>
        <v>0</v>
      </c>
      <c r="F146" s="56">
        <f t="shared" si="8"/>
        <v>-384</v>
      </c>
      <c r="G146" s="57" t="str">
        <f t="shared" si="9"/>
        <v/>
      </c>
      <c r="H146" s="58"/>
    </row>
    <row r="147" spans="1:8">
      <c r="A147" s="52">
        <f t="shared" si="6"/>
        <v>127000</v>
      </c>
      <c r="B147" s="53">
        <f t="shared" si="7"/>
        <v>150</v>
      </c>
      <c r="C147" s="54" t="str">
        <f t="shared" si="5"/>
        <v>H2O</v>
      </c>
      <c r="D147" s="55">
        <f>IFERROR( HLOOKUP(A147,H2O_thicknesses!$1:$2,2, 0),0)</f>
        <v>0.17355460170446499</v>
      </c>
      <c r="E147" s="55">
        <f>IFERROR( HLOOKUP(A147,CO2_thicknesses!$1:$2,2),0)</f>
        <v>0</v>
      </c>
      <c r="F147" s="56">
        <f t="shared" si="8"/>
        <v>-383</v>
      </c>
      <c r="G147" s="57" t="str">
        <f t="shared" si="9"/>
        <v/>
      </c>
      <c r="H147" s="58"/>
    </row>
    <row r="148" spans="1:8">
      <c r="A148" s="52">
        <f t="shared" si="6"/>
        <v>128000</v>
      </c>
      <c r="B148" s="53">
        <f t="shared" si="7"/>
        <v>150</v>
      </c>
      <c r="C148" s="54" t="str">
        <f t="shared" ref="C148:C211" si="10">IF(D148=0, "CO2", "H2O")</f>
        <v>H2O</v>
      </c>
      <c r="D148" s="55">
        <f>IFERROR( HLOOKUP(A148,H2O_thicknesses!$1:$2,2, 0),0)</f>
        <v>0.167358239687074</v>
      </c>
      <c r="E148" s="55">
        <f>IFERROR( HLOOKUP(A148,CO2_thicknesses!$1:$2,2),0)</f>
        <v>0</v>
      </c>
      <c r="F148" s="56">
        <f t="shared" si="8"/>
        <v>-382</v>
      </c>
      <c r="G148" s="57" t="str">
        <f t="shared" si="9"/>
        <v/>
      </c>
      <c r="H148" s="58"/>
    </row>
    <row r="149" spans="1:8">
      <c r="A149" s="52">
        <f t="shared" ref="A149:A212" si="11">A148+1000</f>
        <v>129000</v>
      </c>
      <c r="B149" s="53">
        <f t="shared" ref="B149:B212" si="12">B148</f>
        <v>150</v>
      </c>
      <c r="C149" s="54" t="str">
        <f t="shared" si="10"/>
        <v>H2O</v>
      </c>
      <c r="D149" s="55">
        <f>IFERROR( HLOOKUP(A149,H2O_thicknesses!$1:$2,2, 0),0)</f>
        <v>0.162692877574872</v>
      </c>
      <c r="E149" s="55">
        <f>IFERROR( HLOOKUP(A149,CO2_thicknesses!$1:$2,2),0)</f>
        <v>0</v>
      </c>
      <c r="F149" s="56">
        <f t="shared" ref="F149:F212" si="13">F148+1</f>
        <v>-381</v>
      </c>
      <c r="G149" s="57" t="str">
        <f t="shared" ref="G149:G212" si="14">IF(C148&lt;&gt;C149,C149,"")</f>
        <v/>
      </c>
      <c r="H149" s="58"/>
    </row>
    <row r="150" spans="1:8">
      <c r="A150" s="52">
        <f t="shared" si="11"/>
        <v>130000</v>
      </c>
      <c r="B150" s="53">
        <f t="shared" si="12"/>
        <v>150</v>
      </c>
      <c r="C150" s="54" t="str">
        <f t="shared" si="10"/>
        <v>H2O</v>
      </c>
      <c r="D150" s="55">
        <f>IFERROR( HLOOKUP(A150,H2O_thicknesses!$1:$2,2, 0),0)</f>
        <v>0.160654894293697</v>
      </c>
      <c r="E150" s="55">
        <f>IFERROR( HLOOKUP(A150,CO2_thicknesses!$1:$2,2),0)</f>
        <v>0</v>
      </c>
      <c r="F150" s="56">
        <f t="shared" si="13"/>
        <v>-380</v>
      </c>
      <c r="G150" s="57" t="str">
        <f t="shared" si="14"/>
        <v/>
      </c>
      <c r="H150" s="58"/>
    </row>
    <row r="151" spans="1:8">
      <c r="A151" s="52">
        <f t="shared" si="11"/>
        <v>131000</v>
      </c>
      <c r="B151" s="53">
        <f t="shared" si="12"/>
        <v>150</v>
      </c>
      <c r="C151" s="54" t="str">
        <f t="shared" si="10"/>
        <v>H2O</v>
      </c>
      <c r="D151" s="55">
        <f>IFERROR( HLOOKUP(A151,H2O_thicknesses!$1:$2,2, 0),0)</f>
        <v>0.15768001887126601</v>
      </c>
      <c r="E151" s="55">
        <f>IFERROR( HLOOKUP(A151,CO2_thicknesses!$1:$2,2),0)</f>
        <v>0</v>
      </c>
      <c r="F151" s="56">
        <f t="shared" si="13"/>
        <v>-379</v>
      </c>
      <c r="G151" s="57" t="str">
        <f t="shared" si="14"/>
        <v/>
      </c>
      <c r="H151" s="58"/>
    </row>
    <row r="152" spans="1:8">
      <c r="A152" s="52">
        <f t="shared" si="11"/>
        <v>132000</v>
      </c>
      <c r="B152" s="53">
        <f t="shared" si="12"/>
        <v>150</v>
      </c>
      <c r="C152" s="54" t="str">
        <f t="shared" si="10"/>
        <v>H2O</v>
      </c>
      <c r="D152" s="55">
        <f>IFERROR( HLOOKUP(A152,H2O_thicknesses!$1:$2,2, 0),0)</f>
        <v>0.15464766857457399</v>
      </c>
      <c r="E152" s="55">
        <f>IFERROR( HLOOKUP(A152,CO2_thicknesses!$1:$2,2),0)</f>
        <v>0</v>
      </c>
      <c r="F152" s="56">
        <f t="shared" si="13"/>
        <v>-378</v>
      </c>
      <c r="G152" s="57" t="str">
        <f t="shared" si="14"/>
        <v/>
      </c>
      <c r="H152" s="58"/>
    </row>
    <row r="153" spans="1:8">
      <c r="A153" s="52">
        <f t="shared" si="11"/>
        <v>133000</v>
      </c>
      <c r="B153" s="53">
        <f t="shared" si="12"/>
        <v>150</v>
      </c>
      <c r="C153" s="54" t="str">
        <f t="shared" si="10"/>
        <v>CO2</v>
      </c>
      <c r="D153" s="55">
        <f>IFERROR( HLOOKUP(A153,H2O_thicknesses!$1:$2,2, 0),0)</f>
        <v>0</v>
      </c>
      <c r="E153" s="55">
        <f>IFERROR( HLOOKUP(A153,CO2_thicknesses!$1:$2,2),0)</f>
        <v>0</v>
      </c>
      <c r="F153" s="56">
        <f t="shared" si="13"/>
        <v>-377</v>
      </c>
      <c r="G153" s="57" t="str">
        <f t="shared" si="14"/>
        <v>CO2</v>
      </c>
      <c r="H153" s="58"/>
    </row>
    <row r="154" spans="1:8">
      <c r="A154" s="52">
        <f t="shared" si="11"/>
        <v>134000</v>
      </c>
      <c r="B154" s="53">
        <f t="shared" si="12"/>
        <v>150</v>
      </c>
      <c r="C154" s="54" t="str">
        <f t="shared" si="10"/>
        <v>CO2</v>
      </c>
      <c r="D154" s="55">
        <f>IFERROR( HLOOKUP(A154,H2O_thicknesses!$1:$2,2, 0),0)</f>
        <v>0</v>
      </c>
      <c r="E154" s="55">
        <f>IFERROR( HLOOKUP(A154,CO2_thicknesses!$1:$2,2),0)</f>
        <v>0</v>
      </c>
      <c r="F154" s="56">
        <f t="shared" si="13"/>
        <v>-376</v>
      </c>
      <c r="G154" s="57" t="str">
        <f t="shared" si="14"/>
        <v/>
      </c>
      <c r="H154" s="58"/>
    </row>
    <row r="155" spans="1:8">
      <c r="A155" s="52">
        <f t="shared" si="11"/>
        <v>135000</v>
      </c>
      <c r="B155" s="53">
        <f t="shared" si="12"/>
        <v>150</v>
      </c>
      <c r="C155" s="54" t="str">
        <f t="shared" si="10"/>
        <v>CO2</v>
      </c>
      <c r="D155" s="55">
        <f>IFERROR( HLOOKUP(A155,H2O_thicknesses!$1:$2,2, 0),0)</f>
        <v>0</v>
      </c>
      <c r="E155" s="55">
        <f>IFERROR( HLOOKUP(A155,CO2_thicknesses!$1:$2,2),0)</f>
        <v>0</v>
      </c>
      <c r="F155" s="56">
        <f t="shared" si="13"/>
        <v>-375</v>
      </c>
      <c r="G155" s="57" t="str">
        <f t="shared" si="14"/>
        <v/>
      </c>
      <c r="H155" s="58"/>
    </row>
    <row r="156" spans="1:8">
      <c r="A156" s="52">
        <f t="shared" si="11"/>
        <v>136000</v>
      </c>
      <c r="B156" s="53">
        <f t="shared" si="12"/>
        <v>150</v>
      </c>
      <c r="C156" s="54" t="str">
        <f t="shared" si="10"/>
        <v>CO2</v>
      </c>
      <c r="D156" s="55">
        <f>IFERROR( HLOOKUP(A156,H2O_thicknesses!$1:$2,2, 0),0)</f>
        <v>0</v>
      </c>
      <c r="E156" s="55">
        <f>IFERROR( HLOOKUP(A156,CO2_thicknesses!$1:$2,2),0)</f>
        <v>0</v>
      </c>
      <c r="F156" s="56">
        <f t="shared" si="13"/>
        <v>-374</v>
      </c>
      <c r="G156" s="57" t="str">
        <f t="shared" si="14"/>
        <v/>
      </c>
      <c r="H156" s="58"/>
    </row>
    <row r="157" spans="1:8">
      <c r="A157" s="52">
        <f t="shared" si="11"/>
        <v>137000</v>
      </c>
      <c r="B157" s="53">
        <f t="shared" si="12"/>
        <v>150</v>
      </c>
      <c r="C157" s="54" t="str">
        <f t="shared" si="10"/>
        <v>CO2</v>
      </c>
      <c r="D157" s="55">
        <f>IFERROR( HLOOKUP(A157,H2O_thicknesses!$1:$2,2, 0),0)</f>
        <v>0</v>
      </c>
      <c r="E157" s="55">
        <f>IFERROR( HLOOKUP(A157,CO2_thicknesses!$1:$2,2),0)</f>
        <v>0</v>
      </c>
      <c r="F157" s="56">
        <f t="shared" si="13"/>
        <v>-373</v>
      </c>
      <c r="G157" s="57" t="str">
        <f t="shared" si="14"/>
        <v/>
      </c>
      <c r="H157" s="58"/>
    </row>
    <row r="158" spans="1:8">
      <c r="A158" s="52">
        <f t="shared" si="11"/>
        <v>138000</v>
      </c>
      <c r="B158" s="53">
        <f t="shared" si="12"/>
        <v>150</v>
      </c>
      <c r="C158" s="54" t="str">
        <f t="shared" si="10"/>
        <v>CO2</v>
      </c>
      <c r="D158" s="55">
        <f>IFERROR( HLOOKUP(A158,H2O_thicknesses!$1:$2,2, 0),0)</f>
        <v>0</v>
      </c>
      <c r="E158" s="55">
        <f>IFERROR( HLOOKUP(A158,CO2_thicknesses!$1:$2,2),0)</f>
        <v>0</v>
      </c>
      <c r="F158" s="56">
        <f t="shared" si="13"/>
        <v>-372</v>
      </c>
      <c r="G158" s="57" t="str">
        <f t="shared" si="14"/>
        <v/>
      </c>
      <c r="H158" s="58"/>
    </row>
    <row r="159" spans="1:8">
      <c r="A159" s="52">
        <f t="shared" si="11"/>
        <v>139000</v>
      </c>
      <c r="B159" s="53">
        <f t="shared" si="12"/>
        <v>150</v>
      </c>
      <c r="C159" s="54" t="str">
        <f t="shared" si="10"/>
        <v>CO2</v>
      </c>
      <c r="D159" s="55">
        <f>IFERROR( HLOOKUP(A159,H2O_thicknesses!$1:$2,2, 0),0)</f>
        <v>0</v>
      </c>
      <c r="E159" s="55">
        <f>IFERROR( HLOOKUP(A159,CO2_thicknesses!$1:$2,2),0)</f>
        <v>0</v>
      </c>
      <c r="F159" s="56">
        <f t="shared" si="13"/>
        <v>-371</v>
      </c>
      <c r="G159" s="57" t="str">
        <f t="shared" si="14"/>
        <v/>
      </c>
      <c r="H159" s="58"/>
    </row>
    <row r="160" spans="1:8">
      <c r="A160" s="52">
        <f t="shared" si="11"/>
        <v>140000</v>
      </c>
      <c r="B160" s="53">
        <f t="shared" si="12"/>
        <v>150</v>
      </c>
      <c r="C160" s="54" t="str">
        <f t="shared" si="10"/>
        <v>CO2</v>
      </c>
      <c r="D160" s="55">
        <f>IFERROR( HLOOKUP(A160,H2O_thicknesses!$1:$2,2, 0),0)</f>
        <v>0</v>
      </c>
      <c r="E160" s="55">
        <f>IFERROR( HLOOKUP(A160,CO2_thicknesses!$1:$2,2),0)</f>
        <v>0</v>
      </c>
      <c r="F160" s="56">
        <f t="shared" si="13"/>
        <v>-370</v>
      </c>
      <c r="G160" s="57" t="str">
        <f t="shared" si="14"/>
        <v/>
      </c>
      <c r="H160" s="58"/>
    </row>
    <row r="161" spans="1:8">
      <c r="A161" s="52">
        <f t="shared" si="11"/>
        <v>141000</v>
      </c>
      <c r="B161" s="53">
        <f t="shared" si="12"/>
        <v>150</v>
      </c>
      <c r="C161" s="54" t="str">
        <f t="shared" si="10"/>
        <v>CO2</v>
      </c>
      <c r="D161" s="55">
        <f>IFERROR( HLOOKUP(A161,H2O_thicknesses!$1:$2,2, 0),0)</f>
        <v>0</v>
      </c>
      <c r="E161" s="55">
        <f>IFERROR( HLOOKUP(A161,CO2_thicknesses!$1:$2,2),0)</f>
        <v>0</v>
      </c>
      <c r="F161" s="56">
        <f t="shared" si="13"/>
        <v>-369</v>
      </c>
      <c r="G161" s="57" t="str">
        <f t="shared" si="14"/>
        <v/>
      </c>
      <c r="H161" s="58"/>
    </row>
    <row r="162" spans="1:8">
      <c r="A162" s="52">
        <f t="shared" si="11"/>
        <v>142000</v>
      </c>
      <c r="B162" s="53">
        <f t="shared" si="12"/>
        <v>150</v>
      </c>
      <c r="C162" s="54" t="str">
        <f t="shared" si="10"/>
        <v>CO2</v>
      </c>
      <c r="D162" s="55">
        <f>IFERROR( HLOOKUP(A162,H2O_thicknesses!$1:$2,2, 0),0)</f>
        <v>0</v>
      </c>
      <c r="E162" s="55">
        <f>IFERROR( HLOOKUP(A162,CO2_thicknesses!$1:$2,2),0)</f>
        <v>0</v>
      </c>
      <c r="F162" s="56">
        <f t="shared" si="13"/>
        <v>-368</v>
      </c>
      <c r="G162" s="57" t="str">
        <f t="shared" si="14"/>
        <v/>
      </c>
      <c r="H162" s="58"/>
    </row>
    <row r="163" spans="1:8">
      <c r="A163" s="52">
        <f t="shared" si="11"/>
        <v>143000</v>
      </c>
      <c r="B163" s="53">
        <f t="shared" si="12"/>
        <v>150</v>
      </c>
      <c r="C163" s="54" t="str">
        <f t="shared" si="10"/>
        <v>CO2</v>
      </c>
      <c r="D163" s="55">
        <f>IFERROR( HLOOKUP(A163,H2O_thicknesses!$1:$2,2, 0),0)</f>
        <v>0</v>
      </c>
      <c r="E163" s="55">
        <f>IFERROR( HLOOKUP(A163,CO2_thicknesses!$1:$2,2),0)</f>
        <v>0</v>
      </c>
      <c r="F163" s="56">
        <f t="shared" si="13"/>
        <v>-367</v>
      </c>
      <c r="G163" s="57" t="str">
        <f t="shared" si="14"/>
        <v/>
      </c>
      <c r="H163" s="58"/>
    </row>
    <row r="164" spans="1:8">
      <c r="A164" s="52">
        <f t="shared" si="11"/>
        <v>144000</v>
      </c>
      <c r="B164" s="53">
        <f t="shared" si="12"/>
        <v>150</v>
      </c>
      <c r="C164" s="54" t="str">
        <f t="shared" si="10"/>
        <v>CO2</v>
      </c>
      <c r="D164" s="55">
        <f>IFERROR( HLOOKUP(A164,H2O_thicknesses!$1:$2,2, 0),0)</f>
        <v>0</v>
      </c>
      <c r="E164" s="55">
        <f>IFERROR( HLOOKUP(A164,CO2_thicknesses!$1:$2,2),0)</f>
        <v>0</v>
      </c>
      <c r="F164" s="56">
        <f t="shared" si="13"/>
        <v>-366</v>
      </c>
      <c r="G164" s="57" t="str">
        <f t="shared" si="14"/>
        <v/>
      </c>
      <c r="H164" s="58"/>
    </row>
    <row r="165" spans="1:8">
      <c r="A165" s="52">
        <f t="shared" si="11"/>
        <v>145000</v>
      </c>
      <c r="B165" s="53">
        <f t="shared" si="12"/>
        <v>150</v>
      </c>
      <c r="C165" s="54" t="str">
        <f t="shared" si="10"/>
        <v>CO2</v>
      </c>
      <c r="D165" s="55">
        <f>IFERROR( HLOOKUP(A165,H2O_thicknesses!$1:$2,2, 0),0)</f>
        <v>0</v>
      </c>
      <c r="E165" s="55">
        <f>IFERROR( HLOOKUP(A165,CO2_thicknesses!$1:$2,2),0)</f>
        <v>0</v>
      </c>
      <c r="F165" s="56">
        <f t="shared" si="13"/>
        <v>-365</v>
      </c>
      <c r="G165" s="57" t="str">
        <f t="shared" si="14"/>
        <v/>
      </c>
      <c r="H165" s="58"/>
    </row>
    <row r="166" spans="1:8">
      <c r="A166" s="52">
        <f t="shared" si="11"/>
        <v>146000</v>
      </c>
      <c r="B166" s="53">
        <f t="shared" si="12"/>
        <v>150</v>
      </c>
      <c r="C166" s="54" t="str">
        <f t="shared" si="10"/>
        <v>CO2</v>
      </c>
      <c r="D166" s="55">
        <f>IFERROR( HLOOKUP(A166,H2O_thicknesses!$1:$2,2, 0),0)</f>
        <v>0</v>
      </c>
      <c r="E166" s="55">
        <f>IFERROR( HLOOKUP(A166,CO2_thicknesses!$1:$2,2),0)</f>
        <v>0</v>
      </c>
      <c r="F166" s="56">
        <f t="shared" si="13"/>
        <v>-364</v>
      </c>
      <c r="G166" s="57" t="str">
        <f t="shared" si="14"/>
        <v/>
      </c>
      <c r="H166" s="58"/>
    </row>
    <row r="167" spans="1:8">
      <c r="A167" s="52">
        <f t="shared" si="11"/>
        <v>147000</v>
      </c>
      <c r="B167" s="53">
        <f t="shared" si="12"/>
        <v>150</v>
      </c>
      <c r="C167" s="54" t="str">
        <f t="shared" si="10"/>
        <v>CO2</v>
      </c>
      <c r="D167" s="55">
        <f>IFERROR( HLOOKUP(A167,H2O_thicknesses!$1:$2,2, 0),0)</f>
        <v>0</v>
      </c>
      <c r="E167" s="55">
        <f>IFERROR( HLOOKUP(A167,CO2_thicknesses!$1:$2,2),0)</f>
        <v>0</v>
      </c>
      <c r="F167" s="56">
        <f t="shared" si="13"/>
        <v>-363</v>
      </c>
      <c r="G167" s="57" t="str">
        <f t="shared" si="14"/>
        <v/>
      </c>
      <c r="H167" s="58"/>
    </row>
    <row r="168" spans="1:8">
      <c r="A168" s="52">
        <f t="shared" si="11"/>
        <v>148000</v>
      </c>
      <c r="B168" s="53">
        <f t="shared" si="12"/>
        <v>150</v>
      </c>
      <c r="C168" s="54" t="str">
        <f t="shared" si="10"/>
        <v>CO2</v>
      </c>
      <c r="D168" s="55">
        <f>IFERROR( HLOOKUP(A168,H2O_thicknesses!$1:$2,2, 0),0)</f>
        <v>0</v>
      </c>
      <c r="E168" s="55">
        <f>IFERROR( HLOOKUP(A168,CO2_thicknesses!$1:$2,2),0)</f>
        <v>0</v>
      </c>
      <c r="F168" s="56">
        <f t="shared" si="13"/>
        <v>-362</v>
      </c>
      <c r="G168" s="57" t="str">
        <f t="shared" si="14"/>
        <v/>
      </c>
      <c r="H168" s="58"/>
    </row>
    <row r="169" spans="1:8">
      <c r="A169" s="52">
        <f t="shared" si="11"/>
        <v>149000</v>
      </c>
      <c r="B169" s="53">
        <f t="shared" si="12"/>
        <v>150</v>
      </c>
      <c r="C169" s="54" t="str">
        <f t="shared" si="10"/>
        <v>CO2</v>
      </c>
      <c r="D169" s="55">
        <f>IFERROR( HLOOKUP(A169,H2O_thicknesses!$1:$2,2, 0),0)</f>
        <v>0</v>
      </c>
      <c r="E169" s="55">
        <f>IFERROR( HLOOKUP(A169,CO2_thicknesses!$1:$2,2),0)</f>
        <v>0</v>
      </c>
      <c r="F169" s="56">
        <f t="shared" si="13"/>
        <v>-361</v>
      </c>
      <c r="G169" s="57" t="str">
        <f t="shared" si="14"/>
        <v/>
      </c>
      <c r="H169" s="58"/>
    </row>
    <row r="170" spans="1:8">
      <c r="A170" s="52">
        <f t="shared" si="11"/>
        <v>150000</v>
      </c>
      <c r="B170" s="53">
        <f t="shared" si="12"/>
        <v>150</v>
      </c>
      <c r="C170" s="54" t="str">
        <f t="shared" si="10"/>
        <v>CO2</v>
      </c>
      <c r="D170" s="55">
        <f>IFERROR( HLOOKUP(A170,H2O_thicknesses!$1:$2,2, 0),0)</f>
        <v>0</v>
      </c>
      <c r="E170" s="55">
        <f>IFERROR( HLOOKUP(A170,CO2_thicknesses!$1:$2,2),0)</f>
        <v>0</v>
      </c>
      <c r="F170" s="56">
        <f t="shared" si="13"/>
        <v>-360</v>
      </c>
      <c r="G170" s="57" t="str">
        <f t="shared" si="14"/>
        <v/>
      </c>
      <c r="H170" s="58"/>
    </row>
    <row r="171" spans="1:8">
      <c r="A171" s="52">
        <f t="shared" si="11"/>
        <v>151000</v>
      </c>
      <c r="B171" s="53">
        <f t="shared" si="12"/>
        <v>150</v>
      </c>
      <c r="C171" s="54" t="str">
        <f t="shared" si="10"/>
        <v>CO2</v>
      </c>
      <c r="D171" s="55">
        <f>IFERROR( HLOOKUP(A171,H2O_thicknesses!$1:$2,2, 0),0)</f>
        <v>0</v>
      </c>
      <c r="E171" s="55">
        <f>IFERROR( HLOOKUP(A171,CO2_thicknesses!$1:$2,2),0)</f>
        <v>0</v>
      </c>
      <c r="F171" s="56">
        <f t="shared" si="13"/>
        <v>-359</v>
      </c>
      <c r="G171" s="57" t="str">
        <f t="shared" si="14"/>
        <v/>
      </c>
      <c r="H171" s="58"/>
    </row>
    <row r="172" spans="1:8">
      <c r="A172" s="52">
        <f t="shared" si="11"/>
        <v>152000</v>
      </c>
      <c r="B172" s="53">
        <f t="shared" si="12"/>
        <v>150</v>
      </c>
      <c r="C172" s="54" t="str">
        <f t="shared" si="10"/>
        <v>CO2</v>
      </c>
      <c r="D172" s="55">
        <f>IFERROR( HLOOKUP(A172,H2O_thicknesses!$1:$2,2, 0),0)</f>
        <v>0</v>
      </c>
      <c r="E172" s="55">
        <f>IFERROR( HLOOKUP(A172,CO2_thicknesses!$1:$2,2),0)</f>
        <v>0</v>
      </c>
      <c r="F172" s="56">
        <f t="shared" si="13"/>
        <v>-358</v>
      </c>
      <c r="G172" s="57" t="str">
        <f t="shared" si="14"/>
        <v/>
      </c>
      <c r="H172" s="58"/>
    </row>
    <row r="173" spans="1:8">
      <c r="A173" s="52">
        <f t="shared" si="11"/>
        <v>153000</v>
      </c>
      <c r="B173" s="53">
        <f t="shared" si="12"/>
        <v>150</v>
      </c>
      <c r="C173" s="54" t="str">
        <f t="shared" si="10"/>
        <v>CO2</v>
      </c>
      <c r="D173" s="55">
        <f>IFERROR( HLOOKUP(A173,H2O_thicknesses!$1:$2,2, 0),0)</f>
        <v>0</v>
      </c>
      <c r="E173" s="55">
        <f>IFERROR( HLOOKUP(A173,CO2_thicknesses!$1:$2,2),0)</f>
        <v>0</v>
      </c>
      <c r="F173" s="56">
        <f t="shared" si="13"/>
        <v>-357</v>
      </c>
      <c r="G173" s="57" t="str">
        <f t="shared" si="14"/>
        <v/>
      </c>
      <c r="H173" s="58"/>
    </row>
    <row r="174" spans="1:8">
      <c r="A174" s="52">
        <f t="shared" si="11"/>
        <v>154000</v>
      </c>
      <c r="B174" s="53">
        <f t="shared" si="12"/>
        <v>150</v>
      </c>
      <c r="C174" s="54" t="str">
        <f t="shared" si="10"/>
        <v>CO2</v>
      </c>
      <c r="D174" s="55">
        <f>IFERROR( HLOOKUP(A174,H2O_thicknesses!$1:$2,2, 0),0)</f>
        <v>0</v>
      </c>
      <c r="E174" s="55">
        <f>IFERROR( HLOOKUP(A174,CO2_thicknesses!$1:$2,2),0)</f>
        <v>0</v>
      </c>
      <c r="F174" s="56">
        <f t="shared" si="13"/>
        <v>-356</v>
      </c>
      <c r="G174" s="57" t="str">
        <f t="shared" si="14"/>
        <v/>
      </c>
      <c r="H174" s="58"/>
    </row>
    <row r="175" spans="1:8">
      <c r="A175" s="52">
        <f t="shared" si="11"/>
        <v>155000</v>
      </c>
      <c r="B175" s="53">
        <f t="shared" si="12"/>
        <v>150</v>
      </c>
      <c r="C175" s="54" t="str">
        <f t="shared" si="10"/>
        <v>CO2</v>
      </c>
      <c r="D175" s="55">
        <f>IFERROR( HLOOKUP(A175,H2O_thicknesses!$1:$2,2, 0),0)</f>
        <v>0</v>
      </c>
      <c r="E175" s="55">
        <f>IFERROR( HLOOKUP(A175,CO2_thicknesses!$1:$2,2),0)</f>
        <v>0</v>
      </c>
      <c r="F175" s="56">
        <f t="shared" si="13"/>
        <v>-355</v>
      </c>
      <c r="G175" s="57" t="str">
        <f t="shared" si="14"/>
        <v/>
      </c>
      <c r="H175" s="58"/>
    </row>
    <row r="176" spans="1:8">
      <c r="A176" s="52">
        <f t="shared" si="11"/>
        <v>156000</v>
      </c>
      <c r="B176" s="53">
        <f t="shared" si="12"/>
        <v>150</v>
      </c>
      <c r="C176" s="54" t="str">
        <f t="shared" si="10"/>
        <v>CO2</v>
      </c>
      <c r="D176" s="55">
        <f>IFERROR( HLOOKUP(A176,H2O_thicknesses!$1:$2,2, 0),0)</f>
        <v>0</v>
      </c>
      <c r="E176" s="55">
        <f>IFERROR( HLOOKUP(A176,CO2_thicknesses!$1:$2,2),0)</f>
        <v>0</v>
      </c>
      <c r="F176" s="56">
        <f t="shared" si="13"/>
        <v>-354</v>
      </c>
      <c r="G176" s="57" t="str">
        <f t="shared" si="14"/>
        <v/>
      </c>
      <c r="H176" s="58"/>
    </row>
    <row r="177" spans="1:8">
      <c r="A177" s="52">
        <f t="shared" si="11"/>
        <v>157000</v>
      </c>
      <c r="B177" s="53">
        <f t="shared" si="12"/>
        <v>150</v>
      </c>
      <c r="C177" s="54" t="str">
        <f t="shared" si="10"/>
        <v>CO2</v>
      </c>
      <c r="D177" s="55">
        <f>IFERROR( HLOOKUP(A177,H2O_thicknesses!$1:$2,2, 0),0)</f>
        <v>0</v>
      </c>
      <c r="E177" s="55">
        <f>IFERROR( HLOOKUP(A177,CO2_thicknesses!$1:$2,2),0)</f>
        <v>0</v>
      </c>
      <c r="F177" s="56">
        <f t="shared" si="13"/>
        <v>-353</v>
      </c>
      <c r="G177" s="57" t="str">
        <f t="shared" si="14"/>
        <v/>
      </c>
      <c r="H177" s="58"/>
    </row>
    <row r="178" spans="1:8">
      <c r="A178" s="52">
        <f t="shared" si="11"/>
        <v>158000</v>
      </c>
      <c r="B178" s="53">
        <f t="shared" si="12"/>
        <v>150</v>
      </c>
      <c r="C178" s="54" t="str">
        <f t="shared" si="10"/>
        <v>CO2</v>
      </c>
      <c r="D178" s="55">
        <f>IFERROR( HLOOKUP(A178,H2O_thicknesses!$1:$2,2, 0),0)</f>
        <v>0</v>
      </c>
      <c r="E178" s="55">
        <f>IFERROR( HLOOKUP(A178,CO2_thicknesses!$1:$2,2),0)</f>
        <v>0</v>
      </c>
      <c r="F178" s="56">
        <f t="shared" si="13"/>
        <v>-352</v>
      </c>
      <c r="G178" s="57" t="str">
        <f t="shared" si="14"/>
        <v/>
      </c>
      <c r="H178" s="58"/>
    </row>
    <row r="179" spans="1:8">
      <c r="A179" s="52">
        <f t="shared" si="11"/>
        <v>159000</v>
      </c>
      <c r="B179" s="53">
        <f t="shared" si="12"/>
        <v>150</v>
      </c>
      <c r="C179" s="54" t="str">
        <f t="shared" si="10"/>
        <v>H2O</v>
      </c>
      <c r="D179" s="55">
        <f>IFERROR( HLOOKUP(A179,H2O_thicknesses!$1:$2,2, 0),0)</f>
        <v>0.154674691845611</v>
      </c>
      <c r="E179" s="55">
        <f>IFERROR( HLOOKUP(A179,CO2_thicknesses!$1:$2,2),0)</f>
        <v>0</v>
      </c>
      <c r="F179" s="56">
        <f t="shared" si="13"/>
        <v>-351</v>
      </c>
      <c r="G179" s="57" t="str">
        <f t="shared" si="14"/>
        <v>H2O</v>
      </c>
      <c r="H179" s="58"/>
    </row>
    <row r="180" spans="1:8">
      <c r="A180" s="52">
        <f t="shared" si="11"/>
        <v>160000</v>
      </c>
      <c r="B180" s="53">
        <f t="shared" si="12"/>
        <v>150</v>
      </c>
      <c r="C180" s="54" t="str">
        <f t="shared" si="10"/>
        <v>H2O</v>
      </c>
      <c r="D180" s="55">
        <f>IFERROR( HLOOKUP(A180,H2O_thicknesses!$1:$2,2, 0),0)</f>
        <v>0.170110545841822</v>
      </c>
      <c r="E180" s="55">
        <f>IFERROR( HLOOKUP(A180,CO2_thicknesses!$1:$2,2),0)</f>
        <v>0</v>
      </c>
      <c r="F180" s="56">
        <f t="shared" si="13"/>
        <v>-350</v>
      </c>
      <c r="G180" s="57" t="str">
        <f t="shared" si="14"/>
        <v/>
      </c>
      <c r="H180" s="58"/>
    </row>
    <row r="181" spans="1:8">
      <c r="A181" s="52">
        <f t="shared" si="11"/>
        <v>161000</v>
      </c>
      <c r="B181" s="53">
        <f t="shared" si="12"/>
        <v>150</v>
      </c>
      <c r="C181" s="54" t="str">
        <f t="shared" si="10"/>
        <v>H2O</v>
      </c>
      <c r="D181" s="55">
        <f>IFERROR( HLOOKUP(A181,H2O_thicknesses!$1:$2,2, 0),0)</f>
        <v>0.173903960777886</v>
      </c>
      <c r="E181" s="55">
        <f>IFERROR( HLOOKUP(A181,CO2_thicknesses!$1:$2,2),0)</f>
        <v>0</v>
      </c>
      <c r="F181" s="56">
        <f t="shared" si="13"/>
        <v>-349</v>
      </c>
      <c r="G181" s="57" t="str">
        <f t="shared" si="14"/>
        <v/>
      </c>
      <c r="H181" s="58"/>
    </row>
    <row r="182" spans="1:8">
      <c r="A182" s="52">
        <f t="shared" si="11"/>
        <v>162000</v>
      </c>
      <c r="B182" s="53">
        <f t="shared" si="12"/>
        <v>150</v>
      </c>
      <c r="C182" s="54" t="str">
        <f t="shared" si="10"/>
        <v>H2O</v>
      </c>
      <c r="D182" s="55">
        <f>IFERROR( HLOOKUP(A182,H2O_thicknesses!$1:$2,2, 0),0)</f>
        <v>0.17751669509578599</v>
      </c>
      <c r="E182" s="55">
        <f>IFERROR( HLOOKUP(A182,CO2_thicknesses!$1:$2,2),0)</f>
        <v>0</v>
      </c>
      <c r="F182" s="56">
        <f t="shared" si="13"/>
        <v>-348</v>
      </c>
      <c r="G182" s="57" t="str">
        <f t="shared" si="14"/>
        <v/>
      </c>
      <c r="H182" s="58"/>
    </row>
    <row r="183" spans="1:8">
      <c r="A183" s="52">
        <f t="shared" si="11"/>
        <v>163000</v>
      </c>
      <c r="B183" s="53">
        <f t="shared" si="12"/>
        <v>150</v>
      </c>
      <c r="C183" s="54" t="str">
        <f t="shared" si="10"/>
        <v>H2O</v>
      </c>
      <c r="D183" s="55">
        <f>IFERROR( HLOOKUP(A183,H2O_thicknesses!$1:$2,2, 0),0)</f>
        <v>0.18110404312261599</v>
      </c>
      <c r="E183" s="55">
        <f>IFERROR( HLOOKUP(A183,CO2_thicknesses!$1:$2,2),0)</f>
        <v>0</v>
      </c>
      <c r="F183" s="56">
        <f t="shared" si="13"/>
        <v>-347</v>
      </c>
      <c r="G183" s="57" t="str">
        <f t="shared" si="14"/>
        <v/>
      </c>
      <c r="H183" s="58"/>
    </row>
    <row r="184" spans="1:8">
      <c r="A184" s="52">
        <f t="shared" si="11"/>
        <v>164000</v>
      </c>
      <c r="B184" s="53">
        <f t="shared" si="12"/>
        <v>150</v>
      </c>
      <c r="C184" s="54" t="str">
        <f t="shared" si="10"/>
        <v>H2O</v>
      </c>
      <c r="D184" s="55">
        <f>IFERROR( HLOOKUP(A184,H2O_thicknesses!$1:$2,2, 0),0)</f>
        <v>0.175901178563729</v>
      </c>
      <c r="E184" s="55">
        <f>IFERROR( HLOOKUP(A184,CO2_thicknesses!$1:$2,2),0)</f>
        <v>0</v>
      </c>
      <c r="F184" s="56">
        <f t="shared" si="13"/>
        <v>-346</v>
      </c>
      <c r="G184" s="57" t="str">
        <f t="shared" si="14"/>
        <v/>
      </c>
      <c r="H184" s="58"/>
    </row>
    <row r="185" spans="1:8">
      <c r="A185" s="52">
        <f t="shared" si="11"/>
        <v>165000</v>
      </c>
      <c r="B185" s="53">
        <f t="shared" si="12"/>
        <v>150</v>
      </c>
      <c r="C185" s="54" t="str">
        <f t="shared" si="10"/>
        <v>H2O</v>
      </c>
      <c r="D185" s="55">
        <f>IFERROR( HLOOKUP(A185,H2O_thicknesses!$1:$2,2, 0),0)</f>
        <v>0.175939155820307</v>
      </c>
      <c r="E185" s="55">
        <f>IFERROR( HLOOKUP(A185,CO2_thicknesses!$1:$2,2),0)</f>
        <v>0</v>
      </c>
      <c r="F185" s="56">
        <f t="shared" si="13"/>
        <v>-345</v>
      </c>
      <c r="G185" s="57" t="str">
        <f t="shared" si="14"/>
        <v/>
      </c>
      <c r="H185" s="58"/>
    </row>
    <row r="186" spans="1:8">
      <c r="A186" s="52">
        <f t="shared" si="11"/>
        <v>166000</v>
      </c>
      <c r="B186" s="53">
        <f t="shared" si="12"/>
        <v>150</v>
      </c>
      <c r="C186" s="54" t="str">
        <f t="shared" si="10"/>
        <v>H2O</v>
      </c>
      <c r="D186" s="55">
        <f>IFERROR( HLOOKUP(A186,H2O_thicknesses!$1:$2,2, 0),0)</f>
        <v>0.17630645152002999</v>
      </c>
      <c r="E186" s="55">
        <f>IFERROR( HLOOKUP(A186,CO2_thicknesses!$1:$2,2),0)</f>
        <v>0</v>
      </c>
      <c r="F186" s="56">
        <f t="shared" si="13"/>
        <v>-344</v>
      </c>
      <c r="G186" s="57" t="str">
        <f t="shared" si="14"/>
        <v/>
      </c>
      <c r="H186" s="58"/>
    </row>
    <row r="187" spans="1:8">
      <c r="A187" s="52">
        <f t="shared" si="11"/>
        <v>167000</v>
      </c>
      <c r="B187" s="53">
        <f t="shared" si="12"/>
        <v>150</v>
      </c>
      <c r="C187" s="54" t="str">
        <f t="shared" si="10"/>
        <v>H2O</v>
      </c>
      <c r="D187" s="55">
        <f>IFERROR( HLOOKUP(A187,H2O_thicknesses!$1:$2,2, 0),0)</f>
        <v>0.17871182817065701</v>
      </c>
      <c r="E187" s="55">
        <f>IFERROR( HLOOKUP(A187,CO2_thicknesses!$1:$2,2),0)</f>
        <v>0</v>
      </c>
      <c r="F187" s="56">
        <f t="shared" si="13"/>
        <v>-343</v>
      </c>
      <c r="G187" s="57" t="str">
        <f t="shared" si="14"/>
        <v/>
      </c>
      <c r="H187" s="58"/>
    </row>
    <row r="188" spans="1:8">
      <c r="A188" s="52">
        <f t="shared" si="11"/>
        <v>168000</v>
      </c>
      <c r="B188" s="53">
        <f t="shared" si="12"/>
        <v>150</v>
      </c>
      <c r="C188" s="54" t="str">
        <f t="shared" si="10"/>
        <v>H2O</v>
      </c>
      <c r="D188" s="55">
        <f>IFERROR( HLOOKUP(A188,H2O_thicknesses!$1:$2,2, 0),0)</f>
        <v>0.17654314978546101</v>
      </c>
      <c r="E188" s="55">
        <f>IFERROR( HLOOKUP(A188,CO2_thicknesses!$1:$2,2),0)</f>
        <v>0</v>
      </c>
      <c r="F188" s="56">
        <f t="shared" si="13"/>
        <v>-342</v>
      </c>
      <c r="G188" s="57" t="str">
        <f t="shared" si="14"/>
        <v/>
      </c>
      <c r="H188" s="58"/>
    </row>
    <row r="189" spans="1:8">
      <c r="A189" s="52">
        <f t="shared" si="11"/>
        <v>169000</v>
      </c>
      <c r="B189" s="53">
        <f t="shared" si="12"/>
        <v>150</v>
      </c>
      <c r="C189" s="54" t="str">
        <f t="shared" si="10"/>
        <v>H2O</v>
      </c>
      <c r="D189" s="55">
        <f>IFERROR( HLOOKUP(A189,H2O_thicknesses!$1:$2,2, 0),0)</f>
        <v>0.16247590290602401</v>
      </c>
      <c r="E189" s="55">
        <f>IFERROR( HLOOKUP(A189,CO2_thicknesses!$1:$2,2),0)</f>
        <v>0</v>
      </c>
      <c r="F189" s="56">
        <f t="shared" si="13"/>
        <v>-341</v>
      </c>
      <c r="G189" s="57" t="str">
        <f t="shared" si="14"/>
        <v/>
      </c>
      <c r="H189" s="58"/>
    </row>
    <row r="190" spans="1:8">
      <c r="A190" s="52">
        <f t="shared" si="11"/>
        <v>170000</v>
      </c>
      <c r="B190" s="53">
        <f t="shared" si="12"/>
        <v>150</v>
      </c>
      <c r="C190" s="54" t="str">
        <f t="shared" si="10"/>
        <v>H2O</v>
      </c>
      <c r="D190" s="55">
        <f>IFERROR( HLOOKUP(A190,H2O_thicknesses!$1:$2,2, 0),0)</f>
        <v>0.16474361608902799</v>
      </c>
      <c r="E190" s="55">
        <f>IFERROR( HLOOKUP(A190,CO2_thicknesses!$1:$2,2),0)</f>
        <v>0</v>
      </c>
      <c r="F190" s="56">
        <f t="shared" si="13"/>
        <v>-340</v>
      </c>
      <c r="G190" s="57" t="str">
        <f t="shared" si="14"/>
        <v/>
      </c>
      <c r="H190" s="58"/>
    </row>
    <row r="191" spans="1:8">
      <c r="A191" s="52">
        <f t="shared" si="11"/>
        <v>171000</v>
      </c>
      <c r="B191" s="53">
        <f t="shared" si="12"/>
        <v>150</v>
      </c>
      <c r="C191" s="54" t="str">
        <f t="shared" si="10"/>
        <v>H2O</v>
      </c>
      <c r="D191" s="55">
        <f>IFERROR( HLOOKUP(A191,H2O_thicknesses!$1:$2,2, 0),0)</f>
        <v>0.16651989209100099</v>
      </c>
      <c r="E191" s="55">
        <f>IFERROR( HLOOKUP(A191,CO2_thicknesses!$1:$2,2),0)</f>
        <v>0</v>
      </c>
      <c r="F191" s="56">
        <f t="shared" si="13"/>
        <v>-339</v>
      </c>
      <c r="G191" s="57" t="str">
        <f t="shared" si="14"/>
        <v/>
      </c>
      <c r="H191" s="58"/>
    </row>
    <row r="192" spans="1:8">
      <c r="A192" s="52">
        <f t="shared" si="11"/>
        <v>172000</v>
      </c>
      <c r="B192" s="53">
        <f t="shared" si="12"/>
        <v>150</v>
      </c>
      <c r="C192" s="54" t="str">
        <f t="shared" si="10"/>
        <v>H2O</v>
      </c>
      <c r="D192" s="55">
        <f>IFERROR( HLOOKUP(A192,H2O_thicknesses!$1:$2,2, 0),0)</f>
        <v>0.16936091887152999</v>
      </c>
      <c r="E192" s="55">
        <f>IFERROR( HLOOKUP(A192,CO2_thicknesses!$1:$2,2),0)</f>
        <v>0</v>
      </c>
      <c r="F192" s="56">
        <f t="shared" si="13"/>
        <v>-338</v>
      </c>
      <c r="G192" s="57" t="str">
        <f t="shared" si="14"/>
        <v/>
      </c>
      <c r="H192" s="58"/>
    </row>
    <row r="193" spans="1:8">
      <c r="A193" s="52">
        <f t="shared" si="11"/>
        <v>173000</v>
      </c>
      <c r="B193" s="53">
        <f t="shared" si="12"/>
        <v>150</v>
      </c>
      <c r="C193" s="54" t="str">
        <f t="shared" si="10"/>
        <v>H2O</v>
      </c>
      <c r="D193" s="55">
        <f>IFERROR( HLOOKUP(A193,H2O_thicknesses!$1:$2,2, 0),0)</f>
        <v>0.175876814467227</v>
      </c>
      <c r="E193" s="55">
        <f>IFERROR( HLOOKUP(A193,CO2_thicknesses!$1:$2,2),0)</f>
        <v>0</v>
      </c>
      <c r="F193" s="56">
        <f t="shared" si="13"/>
        <v>-337</v>
      </c>
      <c r="G193" s="57" t="str">
        <f t="shared" si="14"/>
        <v/>
      </c>
      <c r="H193" s="58"/>
    </row>
    <row r="194" spans="1:8">
      <c r="A194" s="52">
        <f t="shared" si="11"/>
        <v>174000</v>
      </c>
      <c r="B194" s="53">
        <f t="shared" si="12"/>
        <v>150</v>
      </c>
      <c r="C194" s="54" t="str">
        <f t="shared" si="10"/>
        <v>H2O</v>
      </c>
      <c r="D194" s="55">
        <f>IFERROR( HLOOKUP(A194,H2O_thicknesses!$1:$2,2, 0),0)</f>
        <v>0.179481862958356</v>
      </c>
      <c r="E194" s="55">
        <f>IFERROR( HLOOKUP(A194,CO2_thicknesses!$1:$2,2),0)</f>
        <v>0</v>
      </c>
      <c r="F194" s="56">
        <f t="shared" si="13"/>
        <v>-336</v>
      </c>
      <c r="G194" s="57" t="str">
        <f t="shared" si="14"/>
        <v/>
      </c>
      <c r="H194" s="58"/>
    </row>
    <row r="195" spans="1:8">
      <c r="A195" s="52">
        <f t="shared" si="11"/>
        <v>175000</v>
      </c>
      <c r="B195" s="53">
        <f t="shared" si="12"/>
        <v>150</v>
      </c>
      <c r="C195" s="54" t="str">
        <f t="shared" si="10"/>
        <v>H2O</v>
      </c>
      <c r="D195" s="55">
        <f>IFERROR( HLOOKUP(A195,H2O_thicknesses!$1:$2,2, 0),0)</f>
        <v>0.182233994670321</v>
      </c>
      <c r="E195" s="55">
        <f>IFERROR( HLOOKUP(A195,CO2_thicknesses!$1:$2,2),0)</f>
        <v>0</v>
      </c>
      <c r="F195" s="56">
        <f t="shared" si="13"/>
        <v>-335</v>
      </c>
      <c r="G195" s="57" t="str">
        <f t="shared" si="14"/>
        <v/>
      </c>
      <c r="H195" s="58"/>
    </row>
    <row r="196" spans="1:8">
      <c r="A196" s="52">
        <f t="shared" si="11"/>
        <v>176000</v>
      </c>
      <c r="B196" s="53">
        <f t="shared" si="12"/>
        <v>150</v>
      </c>
      <c r="C196" s="54" t="str">
        <f t="shared" si="10"/>
        <v>H2O</v>
      </c>
      <c r="D196" s="55">
        <f>IFERROR( HLOOKUP(A196,H2O_thicknesses!$1:$2,2, 0),0)</f>
        <v>0.185144945431861</v>
      </c>
      <c r="E196" s="55">
        <f>IFERROR( HLOOKUP(A196,CO2_thicknesses!$1:$2,2),0)</f>
        <v>0</v>
      </c>
      <c r="F196" s="56">
        <f t="shared" si="13"/>
        <v>-334</v>
      </c>
      <c r="G196" s="57" t="str">
        <f t="shared" si="14"/>
        <v/>
      </c>
      <c r="H196" s="58"/>
    </row>
    <row r="197" spans="1:8">
      <c r="A197" s="52">
        <f t="shared" si="11"/>
        <v>177000</v>
      </c>
      <c r="B197" s="53">
        <f t="shared" si="12"/>
        <v>150</v>
      </c>
      <c r="C197" s="54" t="str">
        <f t="shared" si="10"/>
        <v>H2O</v>
      </c>
      <c r="D197" s="55">
        <f>IFERROR( HLOOKUP(A197,H2O_thicknesses!$1:$2,2, 0),0)</f>
        <v>0.18873899631399099</v>
      </c>
      <c r="E197" s="55">
        <f>IFERROR( HLOOKUP(A197,CO2_thicknesses!$1:$2,2),0)</f>
        <v>0</v>
      </c>
      <c r="F197" s="56">
        <f t="shared" si="13"/>
        <v>-333</v>
      </c>
      <c r="G197" s="57" t="str">
        <f t="shared" si="14"/>
        <v/>
      </c>
      <c r="H197" s="58"/>
    </row>
    <row r="198" spans="1:8">
      <c r="A198" s="52">
        <f t="shared" si="11"/>
        <v>178000</v>
      </c>
      <c r="B198" s="53">
        <f t="shared" si="12"/>
        <v>150</v>
      </c>
      <c r="C198" s="54" t="str">
        <f t="shared" si="10"/>
        <v>H2O</v>
      </c>
      <c r="D198" s="55">
        <f>IFERROR( HLOOKUP(A198,H2O_thicknesses!$1:$2,2, 0),0)</f>
        <v>0.196088051787459</v>
      </c>
      <c r="E198" s="55">
        <f>IFERROR( HLOOKUP(A198,CO2_thicknesses!$1:$2,2),0)</f>
        <v>0</v>
      </c>
      <c r="F198" s="56">
        <f t="shared" si="13"/>
        <v>-332</v>
      </c>
      <c r="G198" s="57" t="str">
        <f t="shared" si="14"/>
        <v/>
      </c>
      <c r="H198" s="58"/>
    </row>
    <row r="199" spans="1:8">
      <c r="A199" s="52">
        <f t="shared" si="11"/>
        <v>179000</v>
      </c>
      <c r="B199" s="53">
        <f t="shared" si="12"/>
        <v>150</v>
      </c>
      <c r="C199" s="54" t="str">
        <f t="shared" si="10"/>
        <v>H2O</v>
      </c>
      <c r="D199" s="55">
        <f>IFERROR( HLOOKUP(A199,H2O_thicknesses!$1:$2,2, 0),0)</f>
        <v>0.20068733440807299</v>
      </c>
      <c r="E199" s="55">
        <f>IFERROR( HLOOKUP(A199,CO2_thicknesses!$1:$2,2),0)</f>
        <v>0</v>
      </c>
      <c r="F199" s="56">
        <f t="shared" si="13"/>
        <v>-331</v>
      </c>
      <c r="G199" s="57" t="str">
        <f t="shared" si="14"/>
        <v/>
      </c>
      <c r="H199" s="58"/>
    </row>
    <row r="200" spans="1:8">
      <c r="A200" s="52">
        <f t="shared" si="11"/>
        <v>180000</v>
      </c>
      <c r="B200" s="53">
        <f t="shared" si="12"/>
        <v>150</v>
      </c>
      <c r="C200" s="54" t="str">
        <f t="shared" si="10"/>
        <v>H2O</v>
      </c>
      <c r="D200" s="55">
        <f>IFERROR( HLOOKUP(A200,H2O_thicknesses!$1:$2,2, 0),0)</f>
        <v>0.20399608427249799</v>
      </c>
      <c r="E200" s="55">
        <f>IFERROR( HLOOKUP(A200,CO2_thicknesses!$1:$2,2),0)</f>
        <v>0</v>
      </c>
      <c r="F200" s="56">
        <f t="shared" si="13"/>
        <v>-330</v>
      </c>
      <c r="G200" s="57" t="str">
        <f t="shared" si="14"/>
        <v/>
      </c>
      <c r="H200" s="58"/>
    </row>
    <row r="201" spans="1:8">
      <c r="A201" s="52">
        <f t="shared" si="11"/>
        <v>181000</v>
      </c>
      <c r="B201" s="53">
        <f t="shared" si="12"/>
        <v>150</v>
      </c>
      <c r="C201" s="54" t="str">
        <f t="shared" si="10"/>
        <v>H2O</v>
      </c>
      <c r="D201" s="55">
        <f>IFERROR( HLOOKUP(A201,H2O_thicknesses!$1:$2,2, 0),0)</f>
        <v>0.205187484939128</v>
      </c>
      <c r="E201" s="55">
        <f>IFERROR( HLOOKUP(A201,CO2_thicknesses!$1:$2,2),0)</f>
        <v>0</v>
      </c>
      <c r="F201" s="56">
        <f t="shared" si="13"/>
        <v>-329</v>
      </c>
      <c r="G201" s="57" t="str">
        <f t="shared" si="14"/>
        <v/>
      </c>
      <c r="H201" s="58"/>
    </row>
    <row r="202" spans="1:8">
      <c r="A202" s="52">
        <f t="shared" si="11"/>
        <v>182000</v>
      </c>
      <c r="B202" s="53">
        <f t="shared" si="12"/>
        <v>150</v>
      </c>
      <c r="C202" s="54" t="str">
        <f t="shared" si="10"/>
        <v>H2O</v>
      </c>
      <c r="D202" s="55">
        <f>IFERROR( HLOOKUP(A202,H2O_thicknesses!$1:$2,2, 0),0)</f>
        <v>0.21098915244953001</v>
      </c>
      <c r="E202" s="55">
        <f>IFERROR( HLOOKUP(A202,CO2_thicknesses!$1:$2,2),0)</f>
        <v>0</v>
      </c>
      <c r="F202" s="56">
        <f t="shared" si="13"/>
        <v>-328</v>
      </c>
      <c r="G202" s="57" t="str">
        <f t="shared" si="14"/>
        <v/>
      </c>
      <c r="H202" s="58"/>
    </row>
    <row r="203" spans="1:8">
      <c r="A203" s="52">
        <f t="shared" si="11"/>
        <v>183000</v>
      </c>
      <c r="B203" s="53">
        <f t="shared" si="12"/>
        <v>150</v>
      </c>
      <c r="C203" s="54" t="str">
        <f t="shared" si="10"/>
        <v>H2O</v>
      </c>
      <c r="D203" s="55">
        <f>IFERROR( HLOOKUP(A203,H2O_thicknesses!$1:$2,2, 0),0)</f>
        <v>0.21281597783286799</v>
      </c>
      <c r="E203" s="55">
        <f>IFERROR( HLOOKUP(A203,CO2_thicknesses!$1:$2,2),0)</f>
        <v>0</v>
      </c>
      <c r="F203" s="56">
        <f t="shared" si="13"/>
        <v>-327</v>
      </c>
      <c r="G203" s="57" t="str">
        <f t="shared" si="14"/>
        <v/>
      </c>
      <c r="H203" s="58"/>
    </row>
    <row r="204" spans="1:8">
      <c r="A204" s="52">
        <f t="shared" si="11"/>
        <v>184000</v>
      </c>
      <c r="B204" s="53">
        <f t="shared" si="12"/>
        <v>150</v>
      </c>
      <c r="C204" s="54" t="str">
        <f t="shared" si="10"/>
        <v>H2O</v>
      </c>
      <c r="D204" s="55">
        <f>IFERROR( HLOOKUP(A204,H2O_thicknesses!$1:$2,2, 0),0)</f>
        <v>0.22877446411896901</v>
      </c>
      <c r="E204" s="55">
        <f>IFERROR( HLOOKUP(A204,CO2_thicknesses!$1:$2,2),0)</f>
        <v>0</v>
      </c>
      <c r="F204" s="56">
        <f t="shared" si="13"/>
        <v>-326</v>
      </c>
      <c r="G204" s="57" t="str">
        <f t="shared" si="14"/>
        <v/>
      </c>
      <c r="H204" s="58"/>
    </row>
    <row r="205" spans="1:8">
      <c r="A205" s="52">
        <f t="shared" si="11"/>
        <v>185000</v>
      </c>
      <c r="B205" s="53">
        <f t="shared" si="12"/>
        <v>150</v>
      </c>
      <c r="C205" s="54" t="str">
        <f t="shared" si="10"/>
        <v>H2O</v>
      </c>
      <c r="D205" s="55">
        <f>IFERROR( HLOOKUP(A205,H2O_thicknesses!$1:$2,2, 0),0)</f>
        <v>0.23132875368025199</v>
      </c>
      <c r="E205" s="55">
        <f>IFERROR( HLOOKUP(A205,CO2_thicknesses!$1:$2,2),0)</f>
        <v>0</v>
      </c>
      <c r="F205" s="56">
        <f t="shared" si="13"/>
        <v>-325</v>
      </c>
      <c r="G205" s="57" t="str">
        <f t="shared" si="14"/>
        <v/>
      </c>
      <c r="H205" s="58"/>
    </row>
    <row r="206" spans="1:8">
      <c r="A206" s="52">
        <f t="shared" si="11"/>
        <v>186000</v>
      </c>
      <c r="B206" s="53">
        <f t="shared" si="12"/>
        <v>150</v>
      </c>
      <c r="C206" s="54" t="str">
        <f t="shared" si="10"/>
        <v>H2O</v>
      </c>
      <c r="D206" s="55">
        <f>IFERROR( HLOOKUP(A206,H2O_thicknesses!$1:$2,2, 0),0)</f>
        <v>0.234753451636349</v>
      </c>
      <c r="E206" s="55">
        <f>IFERROR( HLOOKUP(A206,CO2_thicknesses!$1:$2,2),0)</f>
        <v>0</v>
      </c>
      <c r="F206" s="56">
        <f t="shared" si="13"/>
        <v>-324</v>
      </c>
      <c r="G206" s="57" t="str">
        <f t="shared" si="14"/>
        <v/>
      </c>
      <c r="H206" s="58"/>
    </row>
    <row r="207" spans="1:8">
      <c r="A207" s="52">
        <f t="shared" si="11"/>
        <v>187000</v>
      </c>
      <c r="B207" s="53">
        <f t="shared" si="12"/>
        <v>150</v>
      </c>
      <c r="C207" s="54" t="str">
        <f t="shared" si="10"/>
        <v>H2O</v>
      </c>
      <c r="D207" s="55">
        <f>IFERROR( HLOOKUP(A207,H2O_thicknesses!$1:$2,2, 0),0)</f>
        <v>0.23060747433839399</v>
      </c>
      <c r="E207" s="55">
        <f>IFERROR( HLOOKUP(A207,CO2_thicknesses!$1:$2,2),0)</f>
        <v>0</v>
      </c>
      <c r="F207" s="56">
        <f t="shared" si="13"/>
        <v>-323</v>
      </c>
      <c r="G207" s="57" t="str">
        <f t="shared" si="14"/>
        <v/>
      </c>
      <c r="H207" s="58"/>
    </row>
    <row r="208" spans="1:8">
      <c r="A208" s="52">
        <f t="shared" si="11"/>
        <v>188000</v>
      </c>
      <c r="B208" s="53">
        <f t="shared" si="12"/>
        <v>150</v>
      </c>
      <c r="C208" s="54" t="str">
        <f t="shared" si="10"/>
        <v>H2O</v>
      </c>
      <c r="D208" s="55">
        <f>IFERROR( HLOOKUP(A208,H2O_thicknesses!$1:$2,2, 0),0)</f>
        <v>0.22799036006978199</v>
      </c>
      <c r="E208" s="55">
        <f>IFERROR( HLOOKUP(A208,CO2_thicknesses!$1:$2,2),0)</f>
        <v>0</v>
      </c>
      <c r="F208" s="56">
        <f t="shared" si="13"/>
        <v>-322</v>
      </c>
      <c r="G208" s="57" t="str">
        <f t="shared" si="14"/>
        <v/>
      </c>
      <c r="H208" s="58"/>
    </row>
    <row r="209" spans="1:8">
      <c r="A209" s="52">
        <f t="shared" si="11"/>
        <v>189000</v>
      </c>
      <c r="B209" s="53">
        <f t="shared" si="12"/>
        <v>150</v>
      </c>
      <c r="C209" s="54" t="str">
        <f t="shared" si="10"/>
        <v>H2O</v>
      </c>
      <c r="D209" s="55">
        <f>IFERROR( HLOOKUP(A209,H2O_thicknesses!$1:$2,2, 0),0)</f>
        <v>0.23952073478274799</v>
      </c>
      <c r="E209" s="55">
        <f>IFERROR( HLOOKUP(A209,CO2_thicknesses!$1:$2,2),0)</f>
        <v>0</v>
      </c>
      <c r="F209" s="56">
        <f t="shared" si="13"/>
        <v>-321</v>
      </c>
      <c r="G209" s="57" t="str">
        <f t="shared" si="14"/>
        <v/>
      </c>
      <c r="H209" s="58"/>
    </row>
    <row r="210" spans="1:8">
      <c r="A210" s="52">
        <f t="shared" si="11"/>
        <v>190000</v>
      </c>
      <c r="B210" s="53">
        <f t="shared" si="12"/>
        <v>150</v>
      </c>
      <c r="C210" s="54" t="str">
        <f t="shared" si="10"/>
        <v>H2O</v>
      </c>
      <c r="D210" s="55">
        <f>IFERROR( HLOOKUP(A210,H2O_thicknesses!$1:$2,2, 0),0)</f>
        <v>0.24342317240480901</v>
      </c>
      <c r="E210" s="55">
        <f>IFERROR( HLOOKUP(A210,CO2_thicknesses!$1:$2,2),0)</f>
        <v>0</v>
      </c>
      <c r="F210" s="56">
        <f t="shared" si="13"/>
        <v>-320</v>
      </c>
      <c r="G210" s="57" t="str">
        <f t="shared" si="14"/>
        <v/>
      </c>
      <c r="H210" s="58"/>
    </row>
    <row r="211" spans="1:8">
      <c r="A211" s="52">
        <f t="shared" si="11"/>
        <v>191000</v>
      </c>
      <c r="B211" s="53">
        <f t="shared" si="12"/>
        <v>150</v>
      </c>
      <c r="C211" s="54" t="str">
        <f t="shared" si="10"/>
        <v>H2O</v>
      </c>
      <c r="D211" s="55">
        <f>IFERROR( HLOOKUP(A211,H2O_thicknesses!$1:$2,2, 0),0)</f>
        <v>0.24541899647225601</v>
      </c>
      <c r="E211" s="55">
        <f>IFERROR( HLOOKUP(A211,CO2_thicknesses!$1:$2,2),0)</f>
        <v>0</v>
      </c>
      <c r="F211" s="56">
        <f t="shared" si="13"/>
        <v>-319</v>
      </c>
      <c r="G211" s="57" t="str">
        <f t="shared" si="14"/>
        <v/>
      </c>
      <c r="H211" s="58"/>
    </row>
    <row r="212" spans="1:8">
      <c r="A212" s="52">
        <f t="shared" si="11"/>
        <v>192000</v>
      </c>
      <c r="B212" s="53">
        <f t="shared" si="12"/>
        <v>150</v>
      </c>
      <c r="C212" s="54" t="str">
        <f t="shared" ref="C212:C275" si="15">IF(D212=0, "CO2", "H2O")</f>
        <v>H2O</v>
      </c>
      <c r="D212" s="55">
        <f>IFERROR( HLOOKUP(A212,H2O_thicknesses!$1:$2,2, 0),0)</f>
        <v>0.24978726966252701</v>
      </c>
      <c r="E212" s="55">
        <f>IFERROR( HLOOKUP(A212,CO2_thicknesses!$1:$2,2),0)</f>
        <v>0</v>
      </c>
      <c r="F212" s="56">
        <f t="shared" si="13"/>
        <v>-318</v>
      </c>
      <c r="G212" s="57" t="str">
        <f t="shared" si="14"/>
        <v/>
      </c>
      <c r="H212" s="58"/>
    </row>
    <row r="213" spans="1:8">
      <c r="A213" s="52">
        <f t="shared" ref="A213:A276" si="16">A212+1000</f>
        <v>193000</v>
      </c>
      <c r="B213" s="53">
        <f t="shared" ref="B213:B276" si="17">B212</f>
        <v>150</v>
      </c>
      <c r="C213" s="54" t="str">
        <f t="shared" si="15"/>
        <v>H2O</v>
      </c>
      <c r="D213" s="55">
        <f>IFERROR( HLOOKUP(A213,H2O_thicknesses!$1:$2,2, 0),0)</f>
        <v>0.26325063267806298</v>
      </c>
      <c r="E213" s="55">
        <f>IFERROR( HLOOKUP(A213,CO2_thicknesses!$1:$2,2),0)</f>
        <v>0</v>
      </c>
      <c r="F213" s="56">
        <f t="shared" ref="F213:F276" si="18">F212+1</f>
        <v>-317</v>
      </c>
      <c r="G213" s="57" t="str">
        <f t="shared" ref="G213:G276" si="19">IF(C212&lt;&gt;C213,C213,"")</f>
        <v/>
      </c>
      <c r="H213" s="58"/>
    </row>
    <row r="214" spans="1:8">
      <c r="A214" s="52">
        <f t="shared" si="16"/>
        <v>194000</v>
      </c>
      <c r="B214" s="53">
        <f t="shared" si="17"/>
        <v>150</v>
      </c>
      <c r="C214" s="54" t="str">
        <f t="shared" si="15"/>
        <v>H2O</v>
      </c>
      <c r="D214" s="55">
        <f>IFERROR( HLOOKUP(A214,H2O_thicknesses!$1:$2,2, 0),0)</f>
        <v>0.27807531400769597</v>
      </c>
      <c r="E214" s="55">
        <f>IFERROR( HLOOKUP(A214,CO2_thicknesses!$1:$2,2),0)</f>
        <v>0</v>
      </c>
      <c r="F214" s="56">
        <f t="shared" si="18"/>
        <v>-316</v>
      </c>
      <c r="G214" s="57" t="str">
        <f t="shared" si="19"/>
        <v/>
      </c>
      <c r="H214" s="58"/>
    </row>
    <row r="215" spans="1:8">
      <c r="A215" s="52">
        <f t="shared" si="16"/>
        <v>195000</v>
      </c>
      <c r="B215" s="53">
        <f t="shared" si="17"/>
        <v>150</v>
      </c>
      <c r="C215" s="54" t="str">
        <f t="shared" si="15"/>
        <v>H2O</v>
      </c>
      <c r="D215" s="55">
        <f>IFERROR( HLOOKUP(A215,H2O_thicknesses!$1:$2,2, 0),0)</f>
        <v>0.30845366572062999</v>
      </c>
      <c r="E215" s="55">
        <f>IFERROR( HLOOKUP(A215,CO2_thicknesses!$1:$2,2),0)</f>
        <v>0</v>
      </c>
      <c r="F215" s="56">
        <f t="shared" si="18"/>
        <v>-315</v>
      </c>
      <c r="G215" s="57" t="str">
        <f t="shared" si="19"/>
        <v/>
      </c>
      <c r="H215" s="58"/>
    </row>
    <row r="216" spans="1:8">
      <c r="A216" s="52">
        <f t="shared" si="16"/>
        <v>196000</v>
      </c>
      <c r="B216" s="53">
        <f t="shared" si="17"/>
        <v>150</v>
      </c>
      <c r="C216" s="54" t="str">
        <f t="shared" si="15"/>
        <v>H2O</v>
      </c>
      <c r="D216" s="55">
        <f>IFERROR( HLOOKUP(A216,H2O_thicknesses!$1:$2,2, 0),0)</f>
        <v>0.35126030952955101</v>
      </c>
      <c r="E216" s="55">
        <f>IFERROR( HLOOKUP(A216,CO2_thicknesses!$1:$2,2),0)</f>
        <v>0</v>
      </c>
      <c r="F216" s="56">
        <f t="shared" si="18"/>
        <v>-314</v>
      </c>
      <c r="G216" s="57" t="str">
        <f t="shared" si="19"/>
        <v/>
      </c>
      <c r="H216" s="58"/>
    </row>
    <row r="217" spans="1:8">
      <c r="A217" s="52">
        <f t="shared" si="16"/>
        <v>197000</v>
      </c>
      <c r="B217" s="53">
        <f t="shared" si="17"/>
        <v>150</v>
      </c>
      <c r="C217" s="54" t="str">
        <f t="shared" si="15"/>
        <v>H2O</v>
      </c>
      <c r="D217" s="55">
        <f>IFERROR( HLOOKUP(A217,H2O_thicknesses!$1:$2,2, 0),0)</f>
        <v>0.39308345376783699</v>
      </c>
      <c r="E217" s="55">
        <f>IFERROR( HLOOKUP(A217,CO2_thicknesses!$1:$2,2),0)</f>
        <v>0</v>
      </c>
      <c r="F217" s="56">
        <f t="shared" si="18"/>
        <v>-313</v>
      </c>
      <c r="G217" s="57" t="str">
        <f t="shared" si="19"/>
        <v/>
      </c>
      <c r="H217" s="58"/>
    </row>
    <row r="218" spans="1:8">
      <c r="A218" s="52">
        <f t="shared" si="16"/>
        <v>198000</v>
      </c>
      <c r="B218" s="53">
        <f t="shared" si="17"/>
        <v>150</v>
      </c>
      <c r="C218" s="54" t="str">
        <f t="shared" si="15"/>
        <v>CO2</v>
      </c>
      <c r="D218" s="55">
        <f>IFERROR( HLOOKUP(A218,H2O_thicknesses!$1:$2,2, 0),0)</f>
        <v>0</v>
      </c>
      <c r="E218" s="55">
        <f>IFERROR( HLOOKUP(A218,CO2_thicknesses!$1:$2,2),0)</f>
        <v>0</v>
      </c>
      <c r="F218" s="56">
        <f t="shared" si="18"/>
        <v>-312</v>
      </c>
      <c r="G218" s="57" t="str">
        <f t="shared" si="19"/>
        <v>CO2</v>
      </c>
      <c r="H218" s="58"/>
    </row>
    <row r="219" spans="1:8">
      <c r="A219" s="52">
        <f t="shared" si="16"/>
        <v>199000</v>
      </c>
      <c r="B219" s="53">
        <f t="shared" si="17"/>
        <v>150</v>
      </c>
      <c r="C219" s="54" t="str">
        <f t="shared" si="15"/>
        <v>CO2</v>
      </c>
      <c r="D219" s="55">
        <f>IFERROR( HLOOKUP(A219,H2O_thicknesses!$1:$2,2, 0),0)</f>
        <v>0</v>
      </c>
      <c r="E219" s="55">
        <f>IFERROR( HLOOKUP(A219,CO2_thicknesses!$1:$2,2),0)</f>
        <v>0</v>
      </c>
      <c r="F219" s="56">
        <f t="shared" si="18"/>
        <v>-311</v>
      </c>
      <c r="G219" s="57" t="str">
        <f t="shared" si="19"/>
        <v/>
      </c>
      <c r="H219" s="58"/>
    </row>
    <row r="220" spans="1:8">
      <c r="A220" s="52">
        <f t="shared" si="16"/>
        <v>200000</v>
      </c>
      <c r="B220" s="53">
        <f t="shared" si="17"/>
        <v>150</v>
      </c>
      <c r="C220" s="54" t="str">
        <f t="shared" si="15"/>
        <v>CO2</v>
      </c>
      <c r="D220" s="55">
        <f>IFERROR( HLOOKUP(A220,H2O_thicknesses!$1:$2,2, 0),0)</f>
        <v>0</v>
      </c>
      <c r="E220" s="55">
        <f>IFERROR( HLOOKUP(A220,CO2_thicknesses!$1:$2,2),0)</f>
        <v>0</v>
      </c>
      <c r="F220" s="56">
        <f t="shared" si="18"/>
        <v>-310</v>
      </c>
      <c r="G220" s="57" t="str">
        <f t="shared" si="19"/>
        <v/>
      </c>
      <c r="H220" s="58"/>
    </row>
    <row r="221" spans="1:8">
      <c r="A221" s="52">
        <f t="shared" si="16"/>
        <v>201000</v>
      </c>
      <c r="B221" s="53">
        <f t="shared" si="17"/>
        <v>150</v>
      </c>
      <c r="C221" s="54" t="str">
        <f t="shared" si="15"/>
        <v>CO2</v>
      </c>
      <c r="D221" s="55">
        <f>IFERROR( HLOOKUP(A221,H2O_thicknesses!$1:$2,2, 0),0)</f>
        <v>0</v>
      </c>
      <c r="E221" s="55">
        <f>IFERROR( HLOOKUP(A221,CO2_thicknesses!$1:$2,2),0)</f>
        <v>0</v>
      </c>
      <c r="F221" s="56">
        <f t="shared" si="18"/>
        <v>-309</v>
      </c>
      <c r="G221" s="57" t="str">
        <f t="shared" si="19"/>
        <v/>
      </c>
      <c r="H221" s="58"/>
    </row>
    <row r="222" spans="1:8">
      <c r="A222" s="52">
        <f t="shared" si="16"/>
        <v>202000</v>
      </c>
      <c r="B222" s="53">
        <f t="shared" si="17"/>
        <v>150</v>
      </c>
      <c r="C222" s="54" t="str">
        <f t="shared" si="15"/>
        <v>CO2</v>
      </c>
      <c r="D222" s="55">
        <f>IFERROR( HLOOKUP(A222,H2O_thicknesses!$1:$2,2, 0),0)</f>
        <v>0</v>
      </c>
      <c r="E222" s="55">
        <f>IFERROR( HLOOKUP(A222,CO2_thicknesses!$1:$2,2),0)</f>
        <v>0</v>
      </c>
      <c r="F222" s="56">
        <f t="shared" si="18"/>
        <v>-308</v>
      </c>
      <c r="G222" s="57" t="str">
        <f t="shared" si="19"/>
        <v/>
      </c>
      <c r="H222" s="58"/>
    </row>
    <row r="223" spans="1:8">
      <c r="A223" s="52">
        <f t="shared" si="16"/>
        <v>203000</v>
      </c>
      <c r="B223" s="53">
        <f t="shared" si="17"/>
        <v>150</v>
      </c>
      <c r="C223" s="54" t="str">
        <f t="shared" si="15"/>
        <v>CO2</v>
      </c>
      <c r="D223" s="55">
        <f>IFERROR( HLOOKUP(A223,H2O_thicknesses!$1:$2,2, 0),0)</f>
        <v>0</v>
      </c>
      <c r="E223" s="55">
        <f>IFERROR( HLOOKUP(A223,CO2_thicknesses!$1:$2,2),0)</f>
        <v>0</v>
      </c>
      <c r="F223" s="56">
        <f t="shared" si="18"/>
        <v>-307</v>
      </c>
      <c r="G223" s="57" t="str">
        <f t="shared" si="19"/>
        <v/>
      </c>
      <c r="H223" s="58"/>
    </row>
    <row r="224" spans="1:8">
      <c r="A224" s="52">
        <f t="shared" si="16"/>
        <v>204000</v>
      </c>
      <c r="B224" s="53">
        <f t="shared" si="17"/>
        <v>150</v>
      </c>
      <c r="C224" s="54" t="str">
        <f t="shared" si="15"/>
        <v>CO2</v>
      </c>
      <c r="D224" s="55">
        <f>IFERROR( HLOOKUP(A224,H2O_thicknesses!$1:$2,2, 0),0)</f>
        <v>0</v>
      </c>
      <c r="E224" s="55">
        <f>IFERROR( HLOOKUP(A224,CO2_thicknesses!$1:$2,2),0)</f>
        <v>0</v>
      </c>
      <c r="F224" s="56">
        <f t="shared" si="18"/>
        <v>-306</v>
      </c>
      <c r="G224" s="57" t="str">
        <f t="shared" si="19"/>
        <v/>
      </c>
      <c r="H224" s="58"/>
    </row>
    <row r="225" spans="1:8">
      <c r="A225" s="52">
        <f t="shared" si="16"/>
        <v>205000</v>
      </c>
      <c r="B225" s="53">
        <f t="shared" si="17"/>
        <v>150</v>
      </c>
      <c r="C225" s="54" t="str">
        <f t="shared" si="15"/>
        <v>CO2</v>
      </c>
      <c r="D225" s="55">
        <f>IFERROR( HLOOKUP(A225,H2O_thicknesses!$1:$2,2, 0),0)</f>
        <v>0</v>
      </c>
      <c r="E225" s="55">
        <f>IFERROR( HLOOKUP(A225,CO2_thicknesses!$1:$2,2),0)</f>
        <v>0</v>
      </c>
      <c r="F225" s="56">
        <f t="shared" si="18"/>
        <v>-305</v>
      </c>
      <c r="G225" s="57" t="str">
        <f t="shared" si="19"/>
        <v/>
      </c>
      <c r="H225" s="58"/>
    </row>
    <row r="226" spans="1:8">
      <c r="A226" s="52">
        <f t="shared" si="16"/>
        <v>206000</v>
      </c>
      <c r="B226" s="53">
        <f t="shared" si="17"/>
        <v>150</v>
      </c>
      <c r="C226" s="54" t="str">
        <f t="shared" si="15"/>
        <v>CO2</v>
      </c>
      <c r="D226" s="55">
        <f>IFERROR( HLOOKUP(A226,H2O_thicknesses!$1:$2,2, 0),0)</f>
        <v>0</v>
      </c>
      <c r="E226" s="55">
        <f>IFERROR( HLOOKUP(A226,CO2_thicknesses!$1:$2,2),0)</f>
        <v>0</v>
      </c>
      <c r="F226" s="56">
        <f t="shared" si="18"/>
        <v>-304</v>
      </c>
      <c r="G226" s="57" t="str">
        <f t="shared" si="19"/>
        <v/>
      </c>
      <c r="H226" s="58"/>
    </row>
    <row r="227" spans="1:8">
      <c r="A227" s="52">
        <f t="shared" si="16"/>
        <v>207000</v>
      </c>
      <c r="B227" s="53">
        <f t="shared" si="17"/>
        <v>150</v>
      </c>
      <c r="C227" s="54" t="str">
        <f t="shared" si="15"/>
        <v>CO2</v>
      </c>
      <c r="D227" s="55">
        <f>IFERROR( HLOOKUP(A227,H2O_thicknesses!$1:$2,2, 0),0)</f>
        <v>0</v>
      </c>
      <c r="E227" s="55">
        <f>IFERROR( HLOOKUP(A227,CO2_thicknesses!$1:$2,2),0)</f>
        <v>0</v>
      </c>
      <c r="F227" s="56">
        <f t="shared" si="18"/>
        <v>-303</v>
      </c>
      <c r="G227" s="57" t="str">
        <f t="shared" si="19"/>
        <v/>
      </c>
      <c r="H227" s="58"/>
    </row>
    <row r="228" spans="1:8">
      <c r="A228" s="52">
        <f t="shared" si="16"/>
        <v>208000</v>
      </c>
      <c r="B228" s="53">
        <f t="shared" si="17"/>
        <v>150</v>
      </c>
      <c r="C228" s="54" t="str">
        <f t="shared" si="15"/>
        <v>CO2</v>
      </c>
      <c r="D228" s="55">
        <f>IFERROR( HLOOKUP(A228,H2O_thicknesses!$1:$2,2, 0),0)</f>
        <v>0</v>
      </c>
      <c r="E228" s="55">
        <f>IFERROR( HLOOKUP(A228,CO2_thicknesses!$1:$2,2),0)</f>
        <v>0</v>
      </c>
      <c r="F228" s="56">
        <f t="shared" si="18"/>
        <v>-302</v>
      </c>
      <c r="G228" s="57" t="str">
        <f t="shared" si="19"/>
        <v/>
      </c>
      <c r="H228" s="58"/>
    </row>
    <row r="229" spans="1:8">
      <c r="A229" s="52">
        <f t="shared" si="16"/>
        <v>209000</v>
      </c>
      <c r="B229" s="53">
        <f t="shared" si="17"/>
        <v>150</v>
      </c>
      <c r="C229" s="54" t="str">
        <f t="shared" si="15"/>
        <v>CO2</v>
      </c>
      <c r="D229" s="55">
        <f>IFERROR( HLOOKUP(A229,H2O_thicknesses!$1:$2,2, 0),0)</f>
        <v>0</v>
      </c>
      <c r="E229" s="55">
        <f>IFERROR( HLOOKUP(A229,CO2_thicknesses!$1:$2,2),0)</f>
        <v>0</v>
      </c>
      <c r="F229" s="56">
        <f t="shared" si="18"/>
        <v>-301</v>
      </c>
      <c r="G229" s="57" t="str">
        <f t="shared" si="19"/>
        <v/>
      </c>
      <c r="H229" s="58"/>
    </row>
    <row r="230" spans="1:8">
      <c r="A230" s="52">
        <f t="shared" si="16"/>
        <v>210000</v>
      </c>
      <c r="B230" s="53">
        <f t="shared" si="17"/>
        <v>150</v>
      </c>
      <c r="C230" s="54" t="str">
        <f t="shared" si="15"/>
        <v>CO2</v>
      </c>
      <c r="D230" s="55">
        <f>IFERROR( HLOOKUP(A230,H2O_thicknesses!$1:$2,2, 0),0)</f>
        <v>0</v>
      </c>
      <c r="E230" s="55">
        <f>IFERROR( HLOOKUP(A230,CO2_thicknesses!$1:$2,2),0)</f>
        <v>0</v>
      </c>
      <c r="F230" s="56">
        <f t="shared" si="18"/>
        <v>-300</v>
      </c>
      <c r="G230" s="57" t="str">
        <f t="shared" si="19"/>
        <v/>
      </c>
      <c r="H230" s="58"/>
    </row>
    <row r="231" spans="1:8">
      <c r="A231" s="52">
        <f t="shared" si="16"/>
        <v>211000</v>
      </c>
      <c r="B231" s="53">
        <f t="shared" si="17"/>
        <v>150</v>
      </c>
      <c r="C231" s="54" t="str">
        <f t="shared" si="15"/>
        <v>CO2</v>
      </c>
      <c r="D231" s="55">
        <f>IFERROR( HLOOKUP(A231,H2O_thicknesses!$1:$2,2, 0),0)</f>
        <v>0</v>
      </c>
      <c r="E231" s="55">
        <f>IFERROR( HLOOKUP(A231,CO2_thicknesses!$1:$2,2),0)</f>
        <v>0</v>
      </c>
      <c r="F231" s="56">
        <f t="shared" si="18"/>
        <v>-299</v>
      </c>
      <c r="G231" s="57" t="str">
        <f t="shared" si="19"/>
        <v/>
      </c>
      <c r="H231" s="58"/>
    </row>
    <row r="232" spans="1:8">
      <c r="A232" s="52">
        <f t="shared" si="16"/>
        <v>212000</v>
      </c>
      <c r="B232" s="53">
        <f t="shared" si="17"/>
        <v>150</v>
      </c>
      <c r="C232" s="54" t="str">
        <f t="shared" si="15"/>
        <v>CO2</v>
      </c>
      <c r="D232" s="55">
        <f>IFERROR( HLOOKUP(A232,H2O_thicknesses!$1:$2,2, 0),0)</f>
        <v>0</v>
      </c>
      <c r="E232" s="55">
        <f>IFERROR( HLOOKUP(A232,CO2_thicknesses!$1:$2,2),0)</f>
        <v>0</v>
      </c>
      <c r="F232" s="56">
        <f t="shared" si="18"/>
        <v>-298</v>
      </c>
      <c r="G232" s="57" t="str">
        <f t="shared" si="19"/>
        <v/>
      </c>
      <c r="H232" s="58"/>
    </row>
    <row r="233" spans="1:8">
      <c r="A233" s="52">
        <f t="shared" si="16"/>
        <v>213000</v>
      </c>
      <c r="B233" s="53">
        <f t="shared" si="17"/>
        <v>150</v>
      </c>
      <c r="C233" s="54" t="str">
        <f t="shared" si="15"/>
        <v>CO2</v>
      </c>
      <c r="D233" s="55">
        <f>IFERROR( HLOOKUP(A233,H2O_thicknesses!$1:$2,2, 0),0)</f>
        <v>0</v>
      </c>
      <c r="E233" s="55">
        <f>IFERROR( HLOOKUP(A233,CO2_thicknesses!$1:$2,2),0)</f>
        <v>0</v>
      </c>
      <c r="F233" s="56">
        <f t="shared" si="18"/>
        <v>-297</v>
      </c>
      <c r="G233" s="57" t="str">
        <f t="shared" si="19"/>
        <v/>
      </c>
      <c r="H233" s="58"/>
    </row>
    <row r="234" spans="1:8">
      <c r="A234" s="52">
        <f t="shared" si="16"/>
        <v>214000</v>
      </c>
      <c r="B234" s="53">
        <f t="shared" si="17"/>
        <v>150</v>
      </c>
      <c r="C234" s="54" t="str">
        <f t="shared" si="15"/>
        <v>CO2</v>
      </c>
      <c r="D234" s="55">
        <f>IFERROR( HLOOKUP(A234,H2O_thicknesses!$1:$2,2, 0),0)</f>
        <v>0</v>
      </c>
      <c r="E234" s="55">
        <f>IFERROR( HLOOKUP(A234,CO2_thicknesses!$1:$2,2),0)</f>
        <v>0</v>
      </c>
      <c r="F234" s="56">
        <f t="shared" si="18"/>
        <v>-296</v>
      </c>
      <c r="G234" s="57" t="str">
        <f t="shared" si="19"/>
        <v/>
      </c>
      <c r="H234" s="58"/>
    </row>
    <row r="235" spans="1:8">
      <c r="A235" s="52">
        <f t="shared" si="16"/>
        <v>215000</v>
      </c>
      <c r="B235" s="53">
        <f t="shared" si="17"/>
        <v>150</v>
      </c>
      <c r="C235" s="54" t="str">
        <f t="shared" si="15"/>
        <v>CO2</v>
      </c>
      <c r="D235" s="55">
        <f>IFERROR( HLOOKUP(A235,H2O_thicknesses!$1:$2,2, 0),0)</f>
        <v>0</v>
      </c>
      <c r="E235" s="55">
        <f>IFERROR( HLOOKUP(A235,CO2_thicknesses!$1:$2,2),0)</f>
        <v>0</v>
      </c>
      <c r="F235" s="56">
        <f t="shared" si="18"/>
        <v>-295</v>
      </c>
      <c r="G235" s="57" t="str">
        <f t="shared" si="19"/>
        <v/>
      </c>
      <c r="H235" s="58"/>
    </row>
    <row r="236" spans="1:8">
      <c r="A236" s="52">
        <f t="shared" si="16"/>
        <v>216000</v>
      </c>
      <c r="B236" s="53">
        <f t="shared" si="17"/>
        <v>150</v>
      </c>
      <c r="C236" s="54" t="str">
        <f t="shared" si="15"/>
        <v>CO2</v>
      </c>
      <c r="D236" s="55">
        <f>IFERROR( HLOOKUP(A236,H2O_thicknesses!$1:$2,2, 0),0)</f>
        <v>0</v>
      </c>
      <c r="E236" s="55">
        <f>IFERROR( HLOOKUP(A236,CO2_thicknesses!$1:$2,2),0)</f>
        <v>0</v>
      </c>
      <c r="F236" s="56">
        <f t="shared" si="18"/>
        <v>-294</v>
      </c>
      <c r="G236" s="57" t="str">
        <f t="shared" si="19"/>
        <v/>
      </c>
      <c r="H236" s="58"/>
    </row>
    <row r="237" spans="1:8">
      <c r="A237" s="52">
        <f t="shared" si="16"/>
        <v>217000</v>
      </c>
      <c r="B237" s="53">
        <f t="shared" si="17"/>
        <v>150</v>
      </c>
      <c r="C237" s="54" t="str">
        <f t="shared" si="15"/>
        <v>CO2</v>
      </c>
      <c r="D237" s="55">
        <f>IFERROR( HLOOKUP(A237,H2O_thicknesses!$1:$2,2, 0),0)</f>
        <v>0</v>
      </c>
      <c r="E237" s="55">
        <f>IFERROR( HLOOKUP(A237,CO2_thicknesses!$1:$2,2),0)</f>
        <v>0</v>
      </c>
      <c r="F237" s="56">
        <f t="shared" si="18"/>
        <v>-293</v>
      </c>
      <c r="G237" s="57" t="str">
        <f t="shared" si="19"/>
        <v/>
      </c>
      <c r="H237" s="58"/>
    </row>
    <row r="238" spans="1:8">
      <c r="A238" s="52">
        <f t="shared" si="16"/>
        <v>218000</v>
      </c>
      <c r="B238" s="53">
        <f t="shared" si="17"/>
        <v>150</v>
      </c>
      <c r="C238" s="54" t="str">
        <f t="shared" si="15"/>
        <v>CO2</v>
      </c>
      <c r="D238" s="55">
        <f>IFERROR( HLOOKUP(A238,H2O_thicknesses!$1:$2,2, 0),0)</f>
        <v>0</v>
      </c>
      <c r="E238" s="55">
        <f>IFERROR( HLOOKUP(A238,CO2_thicknesses!$1:$2,2),0)</f>
        <v>0</v>
      </c>
      <c r="F238" s="56">
        <f t="shared" si="18"/>
        <v>-292</v>
      </c>
      <c r="G238" s="57" t="str">
        <f t="shared" si="19"/>
        <v/>
      </c>
      <c r="H238" s="58"/>
    </row>
    <row r="239" spans="1:8">
      <c r="A239" s="52">
        <f t="shared" si="16"/>
        <v>219000</v>
      </c>
      <c r="B239" s="53">
        <f t="shared" si="17"/>
        <v>150</v>
      </c>
      <c r="C239" s="54" t="str">
        <f t="shared" si="15"/>
        <v>CO2</v>
      </c>
      <c r="D239" s="55">
        <f>IFERROR( HLOOKUP(A239,H2O_thicknesses!$1:$2,2, 0),0)</f>
        <v>0</v>
      </c>
      <c r="E239" s="55">
        <f>IFERROR( HLOOKUP(A239,CO2_thicknesses!$1:$2,2),0)</f>
        <v>0</v>
      </c>
      <c r="F239" s="56">
        <f t="shared" si="18"/>
        <v>-291</v>
      </c>
      <c r="G239" s="57" t="str">
        <f t="shared" si="19"/>
        <v/>
      </c>
      <c r="H239" s="58"/>
    </row>
    <row r="240" spans="1:8">
      <c r="A240" s="52">
        <f t="shared" si="16"/>
        <v>220000</v>
      </c>
      <c r="B240" s="53">
        <f t="shared" si="17"/>
        <v>150</v>
      </c>
      <c r="C240" s="54" t="str">
        <f t="shared" si="15"/>
        <v>CO2</v>
      </c>
      <c r="D240" s="55">
        <f>IFERROR( HLOOKUP(A240,H2O_thicknesses!$1:$2,2, 0),0)</f>
        <v>0</v>
      </c>
      <c r="E240" s="55">
        <f>IFERROR( HLOOKUP(A240,CO2_thicknesses!$1:$2,2),0)</f>
        <v>0</v>
      </c>
      <c r="F240" s="56">
        <f t="shared" si="18"/>
        <v>-290</v>
      </c>
      <c r="G240" s="57" t="str">
        <f t="shared" si="19"/>
        <v/>
      </c>
      <c r="H240" s="58"/>
    </row>
    <row r="241" spans="1:8">
      <c r="A241" s="52">
        <f t="shared" si="16"/>
        <v>221000</v>
      </c>
      <c r="B241" s="53">
        <f t="shared" si="17"/>
        <v>150</v>
      </c>
      <c r="C241" s="54" t="str">
        <f t="shared" si="15"/>
        <v>CO2</v>
      </c>
      <c r="D241" s="55">
        <f>IFERROR( HLOOKUP(A241,H2O_thicknesses!$1:$2,2, 0),0)</f>
        <v>0</v>
      </c>
      <c r="E241" s="55">
        <f>IFERROR( HLOOKUP(A241,CO2_thicknesses!$1:$2,2),0)</f>
        <v>0</v>
      </c>
      <c r="F241" s="56">
        <f t="shared" si="18"/>
        <v>-289</v>
      </c>
      <c r="G241" s="57" t="str">
        <f t="shared" si="19"/>
        <v/>
      </c>
      <c r="H241" s="58"/>
    </row>
    <row r="242" spans="1:8">
      <c r="A242" s="52">
        <f t="shared" si="16"/>
        <v>222000</v>
      </c>
      <c r="B242" s="53">
        <f t="shared" si="17"/>
        <v>150</v>
      </c>
      <c r="C242" s="54" t="str">
        <f t="shared" si="15"/>
        <v>CO2</v>
      </c>
      <c r="D242" s="55">
        <f>IFERROR( HLOOKUP(A242,H2O_thicknesses!$1:$2,2, 0),0)</f>
        <v>0</v>
      </c>
      <c r="E242" s="55">
        <f>IFERROR( HLOOKUP(A242,CO2_thicknesses!$1:$2,2),0)</f>
        <v>0</v>
      </c>
      <c r="F242" s="56">
        <f t="shared" si="18"/>
        <v>-288</v>
      </c>
      <c r="G242" s="57" t="str">
        <f t="shared" si="19"/>
        <v/>
      </c>
      <c r="H242" s="58"/>
    </row>
    <row r="243" spans="1:8">
      <c r="A243" s="52">
        <f t="shared" si="16"/>
        <v>223000</v>
      </c>
      <c r="B243" s="53">
        <f t="shared" si="17"/>
        <v>150</v>
      </c>
      <c r="C243" s="54" t="str">
        <f t="shared" si="15"/>
        <v>CO2</v>
      </c>
      <c r="D243" s="55">
        <f>IFERROR( HLOOKUP(A243,H2O_thicknesses!$1:$2,2, 0),0)</f>
        <v>0</v>
      </c>
      <c r="E243" s="55">
        <f>IFERROR( HLOOKUP(A243,CO2_thicknesses!$1:$2,2),0)</f>
        <v>0</v>
      </c>
      <c r="F243" s="56">
        <f t="shared" si="18"/>
        <v>-287</v>
      </c>
      <c r="G243" s="57" t="str">
        <f t="shared" si="19"/>
        <v/>
      </c>
      <c r="H243" s="58"/>
    </row>
    <row r="244" spans="1:8">
      <c r="A244" s="52">
        <f t="shared" si="16"/>
        <v>224000</v>
      </c>
      <c r="B244" s="53">
        <f t="shared" si="17"/>
        <v>150</v>
      </c>
      <c r="C244" s="54" t="str">
        <f t="shared" si="15"/>
        <v>CO2</v>
      </c>
      <c r="D244" s="55">
        <f>IFERROR( HLOOKUP(A244,H2O_thicknesses!$1:$2,2, 0),0)</f>
        <v>0</v>
      </c>
      <c r="E244" s="55">
        <f>IFERROR( HLOOKUP(A244,CO2_thicknesses!$1:$2,2),0)</f>
        <v>0</v>
      </c>
      <c r="F244" s="56">
        <f t="shared" si="18"/>
        <v>-286</v>
      </c>
      <c r="G244" s="57" t="str">
        <f t="shared" si="19"/>
        <v/>
      </c>
      <c r="H244" s="58"/>
    </row>
    <row r="245" spans="1:8">
      <c r="A245" s="52">
        <f t="shared" si="16"/>
        <v>225000</v>
      </c>
      <c r="B245" s="53">
        <f t="shared" si="17"/>
        <v>150</v>
      </c>
      <c r="C245" s="54" t="str">
        <f t="shared" si="15"/>
        <v>CO2</v>
      </c>
      <c r="D245" s="55">
        <f>IFERROR( HLOOKUP(A245,H2O_thicknesses!$1:$2,2, 0),0)</f>
        <v>0</v>
      </c>
      <c r="E245" s="55">
        <f>IFERROR( HLOOKUP(A245,CO2_thicknesses!$1:$2,2),0)</f>
        <v>0</v>
      </c>
      <c r="F245" s="56">
        <f t="shared" si="18"/>
        <v>-285</v>
      </c>
      <c r="G245" s="57" t="str">
        <f t="shared" si="19"/>
        <v/>
      </c>
      <c r="H245" s="58"/>
    </row>
    <row r="246" spans="1:8">
      <c r="A246" s="52">
        <f t="shared" si="16"/>
        <v>226000</v>
      </c>
      <c r="B246" s="53">
        <f t="shared" si="17"/>
        <v>150</v>
      </c>
      <c r="C246" s="54" t="str">
        <f t="shared" si="15"/>
        <v>CO2</v>
      </c>
      <c r="D246" s="55">
        <f>IFERROR( HLOOKUP(A246,H2O_thicknesses!$1:$2,2, 0),0)</f>
        <v>0</v>
      </c>
      <c r="E246" s="55">
        <f>IFERROR( HLOOKUP(A246,CO2_thicknesses!$1:$2,2),0)</f>
        <v>0</v>
      </c>
      <c r="F246" s="56">
        <f t="shared" si="18"/>
        <v>-284</v>
      </c>
      <c r="G246" s="57" t="str">
        <f t="shared" si="19"/>
        <v/>
      </c>
      <c r="H246" s="58"/>
    </row>
    <row r="247" spans="1:8">
      <c r="A247" s="52">
        <f t="shared" si="16"/>
        <v>227000</v>
      </c>
      <c r="B247" s="53">
        <f t="shared" si="17"/>
        <v>150</v>
      </c>
      <c r="C247" s="54" t="str">
        <f t="shared" si="15"/>
        <v>CO2</v>
      </c>
      <c r="D247" s="55">
        <f>IFERROR( HLOOKUP(A247,H2O_thicknesses!$1:$2,2, 0),0)</f>
        <v>0</v>
      </c>
      <c r="E247" s="55">
        <f>IFERROR( HLOOKUP(A247,CO2_thicknesses!$1:$2,2),0)</f>
        <v>0</v>
      </c>
      <c r="F247" s="56">
        <f t="shared" si="18"/>
        <v>-283</v>
      </c>
      <c r="G247" s="57" t="str">
        <f t="shared" si="19"/>
        <v/>
      </c>
      <c r="H247" s="58"/>
    </row>
    <row r="248" spans="1:8">
      <c r="A248" s="52">
        <f t="shared" si="16"/>
        <v>228000</v>
      </c>
      <c r="B248" s="53">
        <f t="shared" si="17"/>
        <v>150</v>
      </c>
      <c r="C248" s="54" t="str">
        <f t="shared" si="15"/>
        <v>CO2</v>
      </c>
      <c r="D248" s="55">
        <f>IFERROR( HLOOKUP(A248,H2O_thicknesses!$1:$2,2, 0),0)</f>
        <v>0</v>
      </c>
      <c r="E248" s="55">
        <f>IFERROR( HLOOKUP(A248,CO2_thicknesses!$1:$2,2),0)</f>
        <v>0</v>
      </c>
      <c r="F248" s="56">
        <f t="shared" si="18"/>
        <v>-282</v>
      </c>
      <c r="G248" s="57" t="str">
        <f t="shared" si="19"/>
        <v/>
      </c>
      <c r="H248" s="58"/>
    </row>
    <row r="249" spans="1:8">
      <c r="A249" s="52">
        <f t="shared" si="16"/>
        <v>229000</v>
      </c>
      <c r="B249" s="53">
        <f t="shared" si="17"/>
        <v>150</v>
      </c>
      <c r="C249" s="54" t="str">
        <f t="shared" si="15"/>
        <v>CO2</v>
      </c>
      <c r="D249" s="55">
        <f>IFERROR( HLOOKUP(A249,H2O_thicknesses!$1:$2,2, 0),0)</f>
        <v>0</v>
      </c>
      <c r="E249" s="55">
        <f>IFERROR( HLOOKUP(A249,CO2_thicknesses!$1:$2,2),0)</f>
        <v>0</v>
      </c>
      <c r="F249" s="56">
        <f t="shared" si="18"/>
        <v>-281</v>
      </c>
      <c r="G249" s="57" t="str">
        <f t="shared" si="19"/>
        <v/>
      </c>
      <c r="H249" s="58"/>
    </row>
    <row r="250" spans="1:8">
      <c r="A250" s="52">
        <f t="shared" si="16"/>
        <v>230000</v>
      </c>
      <c r="B250" s="53">
        <f t="shared" si="17"/>
        <v>150</v>
      </c>
      <c r="C250" s="54" t="str">
        <f t="shared" si="15"/>
        <v>CO2</v>
      </c>
      <c r="D250" s="55">
        <f>IFERROR( HLOOKUP(A250,H2O_thicknesses!$1:$2,2, 0),0)</f>
        <v>0</v>
      </c>
      <c r="E250" s="55">
        <f>IFERROR( HLOOKUP(A250,CO2_thicknesses!$1:$2,2),0)</f>
        <v>0</v>
      </c>
      <c r="F250" s="56">
        <f t="shared" si="18"/>
        <v>-280</v>
      </c>
      <c r="G250" s="57" t="str">
        <f t="shared" si="19"/>
        <v/>
      </c>
      <c r="H250" s="58"/>
    </row>
    <row r="251" spans="1:8">
      <c r="A251" s="52">
        <f t="shared" si="16"/>
        <v>231000</v>
      </c>
      <c r="B251" s="53">
        <f t="shared" si="17"/>
        <v>150</v>
      </c>
      <c r="C251" s="54" t="str">
        <f t="shared" si="15"/>
        <v>CO2</v>
      </c>
      <c r="D251" s="55">
        <f>IFERROR( HLOOKUP(A251,H2O_thicknesses!$1:$2,2, 0),0)</f>
        <v>0</v>
      </c>
      <c r="E251" s="55">
        <f>IFERROR( HLOOKUP(A251,CO2_thicknesses!$1:$2,2),0)</f>
        <v>0</v>
      </c>
      <c r="F251" s="56">
        <f t="shared" si="18"/>
        <v>-279</v>
      </c>
      <c r="G251" s="57" t="str">
        <f t="shared" si="19"/>
        <v/>
      </c>
      <c r="H251" s="58"/>
    </row>
    <row r="252" spans="1:8">
      <c r="A252" s="52">
        <f t="shared" si="16"/>
        <v>232000</v>
      </c>
      <c r="B252" s="53">
        <f t="shared" si="17"/>
        <v>150</v>
      </c>
      <c r="C252" s="54" t="str">
        <f t="shared" si="15"/>
        <v>CO2</v>
      </c>
      <c r="D252" s="55">
        <f>IFERROR( HLOOKUP(A252,H2O_thicknesses!$1:$2,2, 0),0)</f>
        <v>0</v>
      </c>
      <c r="E252" s="55">
        <f>IFERROR( HLOOKUP(A252,CO2_thicknesses!$1:$2,2),0)</f>
        <v>0</v>
      </c>
      <c r="F252" s="56">
        <f t="shared" si="18"/>
        <v>-278</v>
      </c>
      <c r="G252" s="57" t="str">
        <f t="shared" si="19"/>
        <v/>
      </c>
      <c r="H252" s="58"/>
    </row>
    <row r="253" spans="1:8">
      <c r="A253" s="52">
        <f t="shared" si="16"/>
        <v>233000</v>
      </c>
      <c r="B253" s="53">
        <f t="shared" si="17"/>
        <v>150</v>
      </c>
      <c r="C253" s="54" t="str">
        <f t="shared" si="15"/>
        <v>CO2</v>
      </c>
      <c r="D253" s="55">
        <f>IFERROR( HLOOKUP(A253,H2O_thicknesses!$1:$2,2, 0),0)</f>
        <v>0</v>
      </c>
      <c r="E253" s="55">
        <f>IFERROR( HLOOKUP(A253,CO2_thicknesses!$1:$2,2),0)</f>
        <v>0</v>
      </c>
      <c r="F253" s="56">
        <f t="shared" si="18"/>
        <v>-277</v>
      </c>
      <c r="G253" s="57" t="str">
        <f t="shared" si="19"/>
        <v/>
      </c>
      <c r="H253" s="58"/>
    </row>
    <row r="254" spans="1:8">
      <c r="A254" s="52">
        <f t="shared" si="16"/>
        <v>234000</v>
      </c>
      <c r="B254" s="53">
        <f t="shared" si="17"/>
        <v>150</v>
      </c>
      <c r="C254" s="54" t="str">
        <f t="shared" si="15"/>
        <v>CO2</v>
      </c>
      <c r="D254" s="55">
        <f>IFERROR( HLOOKUP(A254,H2O_thicknesses!$1:$2,2, 0),0)</f>
        <v>0</v>
      </c>
      <c r="E254" s="55">
        <f>IFERROR( HLOOKUP(A254,CO2_thicknesses!$1:$2,2),0)</f>
        <v>0</v>
      </c>
      <c r="F254" s="56">
        <f t="shared" si="18"/>
        <v>-276</v>
      </c>
      <c r="G254" s="57" t="str">
        <f t="shared" si="19"/>
        <v/>
      </c>
      <c r="H254" s="58"/>
    </row>
    <row r="255" spans="1:8">
      <c r="A255" s="52">
        <f t="shared" si="16"/>
        <v>235000</v>
      </c>
      <c r="B255" s="53">
        <f t="shared" si="17"/>
        <v>150</v>
      </c>
      <c r="C255" s="54" t="str">
        <f t="shared" si="15"/>
        <v>CO2</v>
      </c>
      <c r="D255" s="55">
        <f>IFERROR( HLOOKUP(A255,H2O_thicknesses!$1:$2,2, 0),0)</f>
        <v>0</v>
      </c>
      <c r="E255" s="55">
        <f>IFERROR( HLOOKUP(A255,CO2_thicknesses!$1:$2,2),0)</f>
        <v>0</v>
      </c>
      <c r="F255" s="56">
        <f t="shared" si="18"/>
        <v>-275</v>
      </c>
      <c r="G255" s="57" t="str">
        <f t="shared" si="19"/>
        <v/>
      </c>
      <c r="H255" s="58"/>
    </row>
    <row r="256" spans="1:8">
      <c r="A256" s="52">
        <f t="shared" si="16"/>
        <v>236000</v>
      </c>
      <c r="B256" s="53">
        <f t="shared" si="17"/>
        <v>150</v>
      </c>
      <c r="C256" s="54" t="str">
        <f t="shared" si="15"/>
        <v>CO2</v>
      </c>
      <c r="D256" s="55">
        <f>IFERROR( HLOOKUP(A256,H2O_thicknesses!$1:$2,2, 0),0)</f>
        <v>0</v>
      </c>
      <c r="E256" s="55">
        <f>IFERROR( HLOOKUP(A256,CO2_thicknesses!$1:$2,2),0)</f>
        <v>0</v>
      </c>
      <c r="F256" s="56">
        <f t="shared" si="18"/>
        <v>-274</v>
      </c>
      <c r="G256" s="57" t="str">
        <f t="shared" si="19"/>
        <v/>
      </c>
      <c r="H256" s="58"/>
    </row>
    <row r="257" spans="1:8">
      <c r="A257" s="52">
        <f t="shared" si="16"/>
        <v>237000</v>
      </c>
      <c r="B257" s="53">
        <f t="shared" si="17"/>
        <v>150</v>
      </c>
      <c r="C257" s="54" t="str">
        <f t="shared" si="15"/>
        <v>CO2</v>
      </c>
      <c r="D257" s="55">
        <f>IFERROR( HLOOKUP(A257,H2O_thicknesses!$1:$2,2, 0),0)</f>
        <v>0</v>
      </c>
      <c r="E257" s="55">
        <f>IFERROR( HLOOKUP(A257,CO2_thicknesses!$1:$2,2),0)</f>
        <v>0</v>
      </c>
      <c r="F257" s="56">
        <f t="shared" si="18"/>
        <v>-273</v>
      </c>
      <c r="G257" s="57" t="str">
        <f t="shared" si="19"/>
        <v/>
      </c>
      <c r="H257" s="58"/>
    </row>
    <row r="258" spans="1:8">
      <c r="A258" s="52">
        <f t="shared" si="16"/>
        <v>238000</v>
      </c>
      <c r="B258" s="53">
        <f t="shared" si="17"/>
        <v>150</v>
      </c>
      <c r="C258" s="54" t="str">
        <f t="shared" si="15"/>
        <v>CO2</v>
      </c>
      <c r="D258" s="55">
        <f>IFERROR( HLOOKUP(A258,H2O_thicknesses!$1:$2,2, 0),0)</f>
        <v>0</v>
      </c>
      <c r="E258" s="55">
        <f>IFERROR( HLOOKUP(A258,CO2_thicknesses!$1:$2,2),0)</f>
        <v>0</v>
      </c>
      <c r="F258" s="56">
        <f t="shared" si="18"/>
        <v>-272</v>
      </c>
      <c r="G258" s="57" t="str">
        <f t="shared" si="19"/>
        <v/>
      </c>
      <c r="H258" s="58"/>
    </row>
    <row r="259" spans="1:8">
      <c r="A259" s="52">
        <f t="shared" si="16"/>
        <v>239000</v>
      </c>
      <c r="B259" s="53">
        <f t="shared" si="17"/>
        <v>150</v>
      </c>
      <c r="C259" s="54" t="str">
        <f t="shared" si="15"/>
        <v>CO2</v>
      </c>
      <c r="D259" s="55">
        <f>IFERROR( HLOOKUP(A259,H2O_thicknesses!$1:$2,2, 0),0)</f>
        <v>0</v>
      </c>
      <c r="E259" s="55">
        <f>IFERROR( HLOOKUP(A259,CO2_thicknesses!$1:$2,2),0)</f>
        <v>0</v>
      </c>
      <c r="F259" s="56">
        <f t="shared" si="18"/>
        <v>-271</v>
      </c>
      <c r="G259" s="57" t="str">
        <f t="shared" si="19"/>
        <v/>
      </c>
      <c r="H259" s="58"/>
    </row>
    <row r="260" spans="1:8">
      <c r="A260" s="52">
        <f t="shared" si="16"/>
        <v>240000</v>
      </c>
      <c r="B260" s="53">
        <f t="shared" si="17"/>
        <v>150</v>
      </c>
      <c r="C260" s="54" t="str">
        <f t="shared" si="15"/>
        <v>CO2</v>
      </c>
      <c r="D260" s="55">
        <f>IFERROR( HLOOKUP(A260,H2O_thicknesses!$1:$2,2, 0),0)</f>
        <v>0</v>
      </c>
      <c r="E260" s="55">
        <f>IFERROR( HLOOKUP(A260,CO2_thicknesses!$1:$2,2),0)</f>
        <v>0</v>
      </c>
      <c r="F260" s="56">
        <f t="shared" si="18"/>
        <v>-270</v>
      </c>
      <c r="G260" s="57" t="str">
        <f t="shared" si="19"/>
        <v/>
      </c>
      <c r="H260" s="58"/>
    </row>
    <row r="261" spans="1:8">
      <c r="A261" s="52">
        <f t="shared" si="16"/>
        <v>241000</v>
      </c>
      <c r="B261" s="53">
        <f t="shared" si="17"/>
        <v>150</v>
      </c>
      <c r="C261" s="54" t="str">
        <f t="shared" si="15"/>
        <v>CO2</v>
      </c>
      <c r="D261" s="55">
        <f>IFERROR( HLOOKUP(A261,H2O_thicknesses!$1:$2,2, 0),0)</f>
        <v>0</v>
      </c>
      <c r="E261" s="55">
        <f>IFERROR( HLOOKUP(A261,CO2_thicknesses!$1:$2,2),0)</f>
        <v>0</v>
      </c>
      <c r="F261" s="56">
        <f t="shared" si="18"/>
        <v>-269</v>
      </c>
      <c r="G261" s="57" t="str">
        <f t="shared" si="19"/>
        <v/>
      </c>
      <c r="H261" s="58"/>
    </row>
    <row r="262" spans="1:8">
      <c r="A262" s="52">
        <f t="shared" si="16"/>
        <v>242000</v>
      </c>
      <c r="B262" s="53">
        <f t="shared" si="17"/>
        <v>150</v>
      </c>
      <c r="C262" s="54" t="str">
        <f t="shared" si="15"/>
        <v>CO2</v>
      </c>
      <c r="D262" s="55">
        <f>IFERROR( HLOOKUP(A262,H2O_thicknesses!$1:$2,2, 0),0)</f>
        <v>0</v>
      </c>
      <c r="E262" s="55">
        <f>IFERROR( HLOOKUP(A262,CO2_thicknesses!$1:$2,2),0)</f>
        <v>0</v>
      </c>
      <c r="F262" s="56">
        <f t="shared" si="18"/>
        <v>-268</v>
      </c>
      <c r="G262" s="57" t="str">
        <f t="shared" si="19"/>
        <v/>
      </c>
      <c r="H262" s="58"/>
    </row>
    <row r="263" spans="1:8">
      <c r="A263" s="52">
        <f t="shared" si="16"/>
        <v>243000</v>
      </c>
      <c r="B263" s="53">
        <f t="shared" si="17"/>
        <v>150</v>
      </c>
      <c r="C263" s="54" t="str">
        <f t="shared" si="15"/>
        <v>CO2</v>
      </c>
      <c r="D263" s="55">
        <f>IFERROR( HLOOKUP(A263,H2O_thicknesses!$1:$2,2, 0),0)</f>
        <v>0</v>
      </c>
      <c r="E263" s="55">
        <f>IFERROR( HLOOKUP(A263,CO2_thicknesses!$1:$2,2),0)</f>
        <v>0</v>
      </c>
      <c r="F263" s="56">
        <f t="shared" si="18"/>
        <v>-267</v>
      </c>
      <c r="G263" s="57" t="str">
        <f t="shared" si="19"/>
        <v/>
      </c>
      <c r="H263" s="58"/>
    </row>
    <row r="264" spans="1:8">
      <c r="A264" s="52">
        <f t="shared" si="16"/>
        <v>244000</v>
      </c>
      <c r="B264" s="53">
        <f t="shared" si="17"/>
        <v>150</v>
      </c>
      <c r="C264" s="54" t="str">
        <f t="shared" si="15"/>
        <v>CO2</v>
      </c>
      <c r="D264" s="55">
        <f>IFERROR( HLOOKUP(A264,H2O_thicknesses!$1:$2,2, 0),0)</f>
        <v>0</v>
      </c>
      <c r="E264" s="55">
        <f>IFERROR( HLOOKUP(A264,CO2_thicknesses!$1:$2,2),0)</f>
        <v>0</v>
      </c>
      <c r="F264" s="56">
        <f t="shared" si="18"/>
        <v>-266</v>
      </c>
      <c r="G264" s="57" t="str">
        <f t="shared" si="19"/>
        <v/>
      </c>
      <c r="H264" s="58"/>
    </row>
    <row r="265" spans="1:8">
      <c r="A265" s="52">
        <f t="shared" si="16"/>
        <v>245000</v>
      </c>
      <c r="B265" s="53">
        <f t="shared" si="17"/>
        <v>150</v>
      </c>
      <c r="C265" s="54" t="str">
        <f t="shared" si="15"/>
        <v>CO2</v>
      </c>
      <c r="D265" s="55">
        <f>IFERROR( HLOOKUP(A265,H2O_thicknesses!$1:$2,2, 0),0)</f>
        <v>0</v>
      </c>
      <c r="E265" s="55">
        <f>IFERROR( HLOOKUP(A265,CO2_thicknesses!$1:$2,2),0)</f>
        <v>0</v>
      </c>
      <c r="F265" s="56">
        <f t="shared" si="18"/>
        <v>-265</v>
      </c>
      <c r="G265" s="57" t="str">
        <f t="shared" si="19"/>
        <v/>
      </c>
      <c r="H265" s="58"/>
    </row>
    <row r="266" spans="1:8">
      <c r="A266" s="52">
        <f t="shared" si="16"/>
        <v>246000</v>
      </c>
      <c r="B266" s="53">
        <f t="shared" si="17"/>
        <v>150</v>
      </c>
      <c r="C266" s="54" t="str">
        <f t="shared" si="15"/>
        <v>CO2</v>
      </c>
      <c r="D266" s="55">
        <f>IFERROR( HLOOKUP(A266,H2O_thicknesses!$1:$2,2, 0),0)</f>
        <v>0</v>
      </c>
      <c r="E266" s="55">
        <f>IFERROR( HLOOKUP(A266,CO2_thicknesses!$1:$2,2),0)</f>
        <v>0</v>
      </c>
      <c r="F266" s="56">
        <f t="shared" si="18"/>
        <v>-264</v>
      </c>
      <c r="G266" s="57" t="str">
        <f t="shared" si="19"/>
        <v/>
      </c>
      <c r="H266" s="58"/>
    </row>
    <row r="267" spans="1:8">
      <c r="A267" s="52">
        <f t="shared" si="16"/>
        <v>247000</v>
      </c>
      <c r="B267" s="53">
        <f t="shared" si="17"/>
        <v>150</v>
      </c>
      <c r="C267" s="54" t="str">
        <f t="shared" si="15"/>
        <v>CO2</v>
      </c>
      <c r="D267" s="55">
        <f>IFERROR( HLOOKUP(A267,H2O_thicknesses!$1:$2,2, 0),0)</f>
        <v>0</v>
      </c>
      <c r="E267" s="55">
        <f>IFERROR( HLOOKUP(A267,CO2_thicknesses!$1:$2,2),0)</f>
        <v>0</v>
      </c>
      <c r="F267" s="56">
        <f t="shared" si="18"/>
        <v>-263</v>
      </c>
      <c r="G267" s="57" t="str">
        <f t="shared" si="19"/>
        <v/>
      </c>
      <c r="H267" s="58"/>
    </row>
    <row r="268" spans="1:8">
      <c r="A268" s="52">
        <f t="shared" si="16"/>
        <v>248000</v>
      </c>
      <c r="B268" s="53">
        <f t="shared" si="17"/>
        <v>150</v>
      </c>
      <c r="C268" s="54" t="str">
        <f t="shared" si="15"/>
        <v>CO2</v>
      </c>
      <c r="D268" s="55">
        <f>IFERROR( HLOOKUP(A268,H2O_thicknesses!$1:$2,2, 0),0)</f>
        <v>0</v>
      </c>
      <c r="E268" s="55">
        <f>IFERROR( HLOOKUP(A268,CO2_thicknesses!$1:$2,2),0)</f>
        <v>0</v>
      </c>
      <c r="F268" s="56">
        <f t="shared" si="18"/>
        <v>-262</v>
      </c>
      <c r="G268" s="57" t="str">
        <f t="shared" si="19"/>
        <v/>
      </c>
      <c r="H268" s="58"/>
    </row>
    <row r="269" spans="1:8">
      <c r="A269" s="52">
        <f t="shared" si="16"/>
        <v>249000</v>
      </c>
      <c r="B269" s="53">
        <f t="shared" si="17"/>
        <v>150</v>
      </c>
      <c r="C269" s="54" t="str">
        <f t="shared" si="15"/>
        <v>CO2</v>
      </c>
      <c r="D269" s="55">
        <f>IFERROR( HLOOKUP(A269,H2O_thicknesses!$1:$2,2, 0),0)</f>
        <v>0</v>
      </c>
      <c r="E269" s="55">
        <f>IFERROR( HLOOKUP(A269,CO2_thicknesses!$1:$2,2),0)</f>
        <v>0</v>
      </c>
      <c r="F269" s="56">
        <f t="shared" si="18"/>
        <v>-261</v>
      </c>
      <c r="G269" s="57" t="str">
        <f t="shared" si="19"/>
        <v/>
      </c>
      <c r="H269" s="58"/>
    </row>
    <row r="270" spans="1:8">
      <c r="A270" s="52">
        <f t="shared" si="16"/>
        <v>250000</v>
      </c>
      <c r="B270" s="53">
        <f t="shared" si="17"/>
        <v>150</v>
      </c>
      <c r="C270" s="54" t="str">
        <f t="shared" si="15"/>
        <v>CO2</v>
      </c>
      <c r="D270" s="55">
        <f>IFERROR( HLOOKUP(A270,H2O_thicknesses!$1:$2,2, 0),0)</f>
        <v>0</v>
      </c>
      <c r="E270" s="55">
        <f>IFERROR( HLOOKUP(A270,CO2_thicknesses!$1:$2,2),0)</f>
        <v>0</v>
      </c>
      <c r="F270" s="56">
        <f t="shared" si="18"/>
        <v>-260</v>
      </c>
      <c r="G270" s="57" t="str">
        <f t="shared" si="19"/>
        <v/>
      </c>
      <c r="H270" s="58"/>
    </row>
    <row r="271" spans="1:8">
      <c r="A271" s="52">
        <f t="shared" si="16"/>
        <v>251000</v>
      </c>
      <c r="B271" s="53">
        <f t="shared" si="17"/>
        <v>150</v>
      </c>
      <c r="C271" s="54" t="str">
        <f t="shared" si="15"/>
        <v>CO2</v>
      </c>
      <c r="D271" s="55">
        <f>IFERROR( HLOOKUP(A271,H2O_thicknesses!$1:$2,2, 0),0)</f>
        <v>0</v>
      </c>
      <c r="E271" s="55">
        <f>IFERROR( HLOOKUP(A271,CO2_thicknesses!$1:$2,2),0)</f>
        <v>0</v>
      </c>
      <c r="F271" s="56">
        <f t="shared" si="18"/>
        <v>-259</v>
      </c>
      <c r="G271" s="57" t="str">
        <f t="shared" si="19"/>
        <v/>
      </c>
      <c r="H271" s="59">
        <v>1.4967487157115201E-4</v>
      </c>
    </row>
    <row r="272" spans="1:8">
      <c r="A272" s="52">
        <f t="shared" si="16"/>
        <v>252000</v>
      </c>
      <c r="B272" s="53">
        <f t="shared" si="17"/>
        <v>150</v>
      </c>
      <c r="C272" s="54" t="str">
        <f t="shared" si="15"/>
        <v>CO2</v>
      </c>
      <c r="D272" s="55">
        <f>IFERROR( HLOOKUP(A272,H2O_thicknesses!$1:$2,2, 0),0)</f>
        <v>0</v>
      </c>
      <c r="E272" s="55">
        <f>IFERROR( HLOOKUP(A272,CO2_thicknesses!$1:$2,2),0)</f>
        <v>0</v>
      </c>
      <c r="F272" s="56">
        <f t="shared" si="18"/>
        <v>-258</v>
      </c>
      <c r="G272" s="57" t="str">
        <f t="shared" si="19"/>
        <v/>
      </c>
      <c r="H272" s="58"/>
    </row>
    <row r="273" spans="1:8">
      <c r="A273" s="52">
        <f t="shared" si="16"/>
        <v>253000</v>
      </c>
      <c r="B273" s="53">
        <f t="shared" si="17"/>
        <v>150</v>
      </c>
      <c r="C273" s="54" t="str">
        <f t="shared" si="15"/>
        <v>CO2</v>
      </c>
      <c r="D273" s="55">
        <f>IFERROR( HLOOKUP(A273,H2O_thicknesses!$1:$2,2, 0),0)</f>
        <v>0</v>
      </c>
      <c r="E273" s="55">
        <f>IFERROR( HLOOKUP(A273,CO2_thicknesses!$1:$2,2),0)</f>
        <v>0</v>
      </c>
      <c r="F273" s="56">
        <f t="shared" si="18"/>
        <v>-257</v>
      </c>
      <c r="G273" s="57" t="str">
        <f t="shared" si="19"/>
        <v/>
      </c>
      <c r="H273" s="58"/>
    </row>
    <row r="274" spans="1:8">
      <c r="A274" s="52">
        <f t="shared" si="16"/>
        <v>254000</v>
      </c>
      <c r="B274" s="53">
        <f t="shared" si="17"/>
        <v>150</v>
      </c>
      <c r="C274" s="54" t="str">
        <f t="shared" si="15"/>
        <v>CO2</v>
      </c>
      <c r="D274" s="55">
        <f>IFERROR( HLOOKUP(A274,H2O_thicknesses!$1:$2,2, 0),0)</f>
        <v>0</v>
      </c>
      <c r="E274" s="55">
        <f>IFERROR( HLOOKUP(A274,CO2_thicknesses!$1:$2,2),0)</f>
        <v>0</v>
      </c>
      <c r="F274" s="56">
        <f t="shared" si="18"/>
        <v>-256</v>
      </c>
      <c r="G274" s="57" t="str">
        <f t="shared" si="19"/>
        <v/>
      </c>
      <c r="H274" s="58"/>
    </row>
    <row r="275" spans="1:8">
      <c r="A275" s="52">
        <f t="shared" si="16"/>
        <v>255000</v>
      </c>
      <c r="B275" s="53">
        <f t="shared" si="17"/>
        <v>150</v>
      </c>
      <c r="C275" s="54" t="str">
        <f t="shared" si="15"/>
        <v>CO2</v>
      </c>
      <c r="D275" s="55">
        <f>IFERROR( HLOOKUP(A275,H2O_thicknesses!$1:$2,2, 0),0)</f>
        <v>0</v>
      </c>
      <c r="E275" s="55">
        <f>IFERROR( HLOOKUP(A275,CO2_thicknesses!$1:$2,2),0)</f>
        <v>0.45360352480715099</v>
      </c>
      <c r="F275" s="56">
        <f t="shared" si="18"/>
        <v>-255</v>
      </c>
      <c r="G275" s="57" t="str">
        <f t="shared" si="19"/>
        <v/>
      </c>
      <c r="H275" s="58"/>
    </row>
    <row r="276" spans="1:8">
      <c r="A276" s="52">
        <f t="shared" si="16"/>
        <v>256000</v>
      </c>
      <c r="B276" s="53">
        <f t="shared" si="17"/>
        <v>150</v>
      </c>
      <c r="C276" s="54" t="str">
        <f t="shared" ref="C276:C339" si="20">IF(D276=0, "CO2", "H2O")</f>
        <v>CO2</v>
      </c>
      <c r="D276" s="55">
        <f>IFERROR( HLOOKUP(A276,H2O_thicknesses!$1:$2,2, 0),0)</f>
        <v>0</v>
      </c>
      <c r="E276" s="55">
        <f>IFERROR( HLOOKUP(A276,CO2_thicknesses!$1:$2,2),0)</f>
        <v>-1.56510357650737</v>
      </c>
      <c r="F276" s="56">
        <f t="shared" si="18"/>
        <v>-254</v>
      </c>
      <c r="G276" s="57" t="str">
        <f t="shared" si="19"/>
        <v/>
      </c>
      <c r="H276" s="58"/>
    </row>
    <row r="277" spans="1:8">
      <c r="A277" s="52">
        <f t="shared" ref="A277:A340" si="21">A276+1000</f>
        <v>257000</v>
      </c>
      <c r="B277" s="53">
        <f t="shared" ref="B277:B340" si="22">B276</f>
        <v>150</v>
      </c>
      <c r="C277" s="54" t="str">
        <f t="shared" si="20"/>
        <v>CO2</v>
      </c>
      <c r="D277" s="55">
        <f>IFERROR( HLOOKUP(A277,H2O_thicknesses!$1:$2,2, 0),0)</f>
        <v>0</v>
      </c>
      <c r="E277" s="55">
        <f>IFERROR( HLOOKUP(A277,CO2_thicknesses!$1:$2,2),0)</f>
        <v>-1.56510357650737</v>
      </c>
      <c r="F277" s="56">
        <f t="shared" ref="F277:F340" si="23">F276+1</f>
        <v>-253</v>
      </c>
      <c r="G277" s="57" t="str">
        <f t="shared" ref="G277:G340" si="24">IF(C276&lt;&gt;C277,C277,"")</f>
        <v/>
      </c>
      <c r="H277" s="58"/>
    </row>
    <row r="278" spans="1:8">
      <c r="A278" s="52">
        <f t="shared" si="21"/>
        <v>258000</v>
      </c>
      <c r="B278" s="53">
        <f t="shared" si="22"/>
        <v>150</v>
      </c>
      <c r="C278" s="54" t="str">
        <f t="shared" si="20"/>
        <v>CO2</v>
      </c>
      <c r="D278" s="55">
        <f>IFERROR( HLOOKUP(A278,H2O_thicknesses!$1:$2,2, 0),0)</f>
        <v>0</v>
      </c>
      <c r="E278" s="55">
        <f>IFERROR( HLOOKUP(A278,CO2_thicknesses!$1:$2,2),0)</f>
        <v>-1.56510357650737</v>
      </c>
      <c r="F278" s="56">
        <f t="shared" si="23"/>
        <v>-252</v>
      </c>
      <c r="G278" s="57" t="str">
        <f t="shared" si="24"/>
        <v/>
      </c>
      <c r="H278" s="58"/>
    </row>
    <row r="279" spans="1:8">
      <c r="A279" s="52">
        <f t="shared" si="21"/>
        <v>259000</v>
      </c>
      <c r="B279" s="53">
        <f t="shared" si="22"/>
        <v>150</v>
      </c>
      <c r="C279" s="54" t="str">
        <f t="shared" si="20"/>
        <v>CO2</v>
      </c>
      <c r="D279" s="55">
        <f>IFERROR( HLOOKUP(A279,H2O_thicknesses!$1:$2,2, 0),0)</f>
        <v>0</v>
      </c>
      <c r="E279" s="55">
        <f>IFERROR( HLOOKUP(A279,CO2_thicknesses!$1:$2,2),0)</f>
        <v>-1.56510357650737</v>
      </c>
      <c r="F279" s="56">
        <f t="shared" si="23"/>
        <v>-251</v>
      </c>
      <c r="G279" s="57" t="str">
        <f t="shared" si="24"/>
        <v/>
      </c>
      <c r="H279" s="58"/>
    </row>
    <row r="280" spans="1:8">
      <c r="A280" s="52">
        <f t="shared" si="21"/>
        <v>260000</v>
      </c>
      <c r="B280" s="53">
        <f t="shared" si="22"/>
        <v>150</v>
      </c>
      <c r="C280" s="54" t="str">
        <f t="shared" si="20"/>
        <v>H2O</v>
      </c>
      <c r="D280" s="55">
        <f>IFERROR( HLOOKUP(A280,H2O_thicknesses!$1:$2,2, 0),0)</f>
        <v>0.15388998547820101</v>
      </c>
      <c r="E280" s="55">
        <f>IFERROR( HLOOKUP(A280,CO2_thicknesses!$1:$2,2),0)</f>
        <v>-1.56510357650737</v>
      </c>
      <c r="F280" s="56">
        <f t="shared" si="23"/>
        <v>-250</v>
      </c>
      <c r="G280" s="57" t="str">
        <f t="shared" si="24"/>
        <v>H2O</v>
      </c>
      <c r="H280" s="58"/>
    </row>
    <row r="281" spans="1:8">
      <c r="A281" s="52">
        <f t="shared" si="21"/>
        <v>261000</v>
      </c>
      <c r="B281" s="53">
        <f t="shared" si="22"/>
        <v>150</v>
      </c>
      <c r="C281" s="54" t="str">
        <f t="shared" si="20"/>
        <v>H2O</v>
      </c>
      <c r="D281" s="55">
        <f>IFERROR( HLOOKUP(A281,H2O_thicknesses!$1:$2,2, 0),0)</f>
        <v>0.164433734865915</v>
      </c>
      <c r="E281" s="55">
        <f>IFERROR( HLOOKUP(A281,CO2_thicknesses!$1:$2,2),0)</f>
        <v>-1.56510357650737</v>
      </c>
      <c r="F281" s="56">
        <f t="shared" si="23"/>
        <v>-249</v>
      </c>
      <c r="G281" s="57" t="str">
        <f t="shared" si="24"/>
        <v/>
      </c>
      <c r="H281" s="58"/>
    </row>
    <row r="282" spans="1:8">
      <c r="A282" s="52">
        <f t="shared" si="21"/>
        <v>262000</v>
      </c>
      <c r="B282" s="53">
        <f t="shared" si="22"/>
        <v>150</v>
      </c>
      <c r="C282" s="54" t="str">
        <f t="shared" si="20"/>
        <v>H2O</v>
      </c>
      <c r="D282" s="55">
        <f>IFERROR( HLOOKUP(A282,H2O_thicknesses!$1:$2,2, 0),0)</f>
        <v>0.16546638338672101</v>
      </c>
      <c r="E282" s="55">
        <f>IFERROR( HLOOKUP(A282,CO2_thicknesses!$1:$2,2),0)</f>
        <v>-1.56510357650737</v>
      </c>
      <c r="F282" s="56">
        <f t="shared" si="23"/>
        <v>-248</v>
      </c>
      <c r="G282" s="57" t="str">
        <f t="shared" si="24"/>
        <v/>
      </c>
      <c r="H282" s="58"/>
    </row>
    <row r="283" spans="1:8">
      <c r="A283" s="52">
        <f t="shared" si="21"/>
        <v>263000</v>
      </c>
      <c r="B283" s="53">
        <f t="shared" si="22"/>
        <v>150</v>
      </c>
      <c r="C283" s="54" t="str">
        <f t="shared" si="20"/>
        <v>H2O</v>
      </c>
      <c r="D283" s="55">
        <f>IFERROR( HLOOKUP(A283,H2O_thicknesses!$1:$2,2, 0),0)</f>
        <v>0.16591193106933799</v>
      </c>
      <c r="E283" s="55">
        <f>IFERROR( HLOOKUP(A283,CO2_thicknesses!$1:$2,2),0)</f>
        <v>-1.56510357650737</v>
      </c>
      <c r="F283" s="56">
        <f t="shared" si="23"/>
        <v>-247</v>
      </c>
      <c r="G283" s="57" t="str">
        <f t="shared" si="24"/>
        <v/>
      </c>
      <c r="H283" s="58"/>
    </row>
    <row r="284" spans="1:8">
      <c r="A284" s="52">
        <f t="shared" si="21"/>
        <v>264000</v>
      </c>
      <c r="B284" s="53">
        <f t="shared" si="22"/>
        <v>150</v>
      </c>
      <c r="C284" s="54" t="str">
        <f t="shared" si="20"/>
        <v>H2O</v>
      </c>
      <c r="D284" s="55">
        <f>IFERROR( HLOOKUP(A284,H2O_thicknesses!$1:$2,2, 0),0)</f>
        <v>0.38239137837557202</v>
      </c>
      <c r="E284" s="55">
        <f>IFERROR( HLOOKUP(A284,CO2_thicknesses!$1:$2,2),0)</f>
        <v>-1.56510357650737</v>
      </c>
      <c r="F284" s="56">
        <f t="shared" si="23"/>
        <v>-246</v>
      </c>
      <c r="G284" s="57" t="str">
        <f t="shared" si="24"/>
        <v/>
      </c>
      <c r="H284" s="58"/>
    </row>
    <row r="285" spans="1:8">
      <c r="A285" s="52">
        <f t="shared" si="21"/>
        <v>265000</v>
      </c>
      <c r="B285" s="53">
        <f t="shared" si="22"/>
        <v>150</v>
      </c>
      <c r="C285" s="54" t="str">
        <f t="shared" si="20"/>
        <v>H2O</v>
      </c>
      <c r="D285" s="55">
        <f>IFERROR( HLOOKUP(A285,H2O_thicknesses!$1:$2,2, 0),0)</f>
        <v>0.25080643706420602</v>
      </c>
      <c r="E285" s="55">
        <f>IFERROR( HLOOKUP(A285,CO2_thicknesses!$1:$2,2),0)</f>
        <v>-1.56510357650737</v>
      </c>
      <c r="F285" s="56">
        <f t="shared" si="23"/>
        <v>-245</v>
      </c>
      <c r="G285" s="57" t="str">
        <f t="shared" si="24"/>
        <v/>
      </c>
      <c r="H285" s="58"/>
    </row>
    <row r="286" spans="1:8">
      <c r="A286" s="52">
        <f t="shared" si="21"/>
        <v>266000</v>
      </c>
      <c r="B286" s="53">
        <f t="shared" si="22"/>
        <v>150</v>
      </c>
      <c r="C286" s="54" t="str">
        <f t="shared" si="20"/>
        <v>H2O</v>
      </c>
      <c r="D286" s="55">
        <f>IFERROR( HLOOKUP(A286,H2O_thicknesses!$1:$2,2, 0),0)</f>
        <v>0.185381846964805</v>
      </c>
      <c r="E286" s="55">
        <f>IFERROR( HLOOKUP(A286,CO2_thicknesses!$1:$2,2),0)</f>
        <v>-1.56510357650737</v>
      </c>
      <c r="F286" s="56">
        <f t="shared" si="23"/>
        <v>-244</v>
      </c>
      <c r="G286" s="57" t="str">
        <f t="shared" si="24"/>
        <v/>
      </c>
      <c r="H286" s="58"/>
    </row>
    <row r="287" spans="1:8">
      <c r="A287" s="52">
        <f t="shared" si="21"/>
        <v>267000</v>
      </c>
      <c r="B287" s="53">
        <f t="shared" si="22"/>
        <v>150</v>
      </c>
      <c r="C287" s="54" t="str">
        <f t="shared" si="20"/>
        <v>H2O</v>
      </c>
      <c r="D287" s="55">
        <f>IFERROR( HLOOKUP(A287,H2O_thicknesses!$1:$2,2, 0),0)</f>
        <v>0.18315211046305699</v>
      </c>
      <c r="E287" s="55">
        <f>IFERROR( HLOOKUP(A287,CO2_thicknesses!$1:$2,2),0)</f>
        <v>-1.56510357650737</v>
      </c>
      <c r="F287" s="56">
        <f t="shared" si="23"/>
        <v>-243</v>
      </c>
      <c r="G287" s="57" t="str">
        <f t="shared" si="24"/>
        <v/>
      </c>
      <c r="H287" s="58"/>
    </row>
    <row r="288" spans="1:8">
      <c r="A288" s="52">
        <f t="shared" si="21"/>
        <v>268000</v>
      </c>
      <c r="B288" s="53">
        <f t="shared" si="22"/>
        <v>150</v>
      </c>
      <c r="C288" s="54" t="str">
        <f t="shared" si="20"/>
        <v>H2O</v>
      </c>
      <c r="D288" s="55">
        <f>IFERROR( HLOOKUP(A288,H2O_thicknesses!$1:$2,2, 0),0)</f>
        <v>0.18595677472220101</v>
      </c>
      <c r="E288" s="55">
        <f>IFERROR( HLOOKUP(A288,CO2_thicknesses!$1:$2,2),0)</f>
        <v>-1.56510357650737</v>
      </c>
      <c r="F288" s="56">
        <f t="shared" si="23"/>
        <v>-242</v>
      </c>
      <c r="G288" s="57" t="str">
        <f t="shared" si="24"/>
        <v/>
      </c>
      <c r="H288" s="58"/>
    </row>
    <row r="289" spans="1:8">
      <c r="A289" s="52">
        <f t="shared" si="21"/>
        <v>269000</v>
      </c>
      <c r="B289" s="53">
        <f t="shared" si="22"/>
        <v>150</v>
      </c>
      <c r="C289" s="54" t="str">
        <f t="shared" si="20"/>
        <v>H2O</v>
      </c>
      <c r="D289" s="55">
        <f>IFERROR( HLOOKUP(A289,H2O_thicknesses!$1:$2,2, 0),0)</f>
        <v>0.18367782008572001</v>
      </c>
      <c r="E289" s="55">
        <f>IFERROR( HLOOKUP(A289,CO2_thicknesses!$1:$2,2),0)</f>
        <v>-1.56510357650737</v>
      </c>
      <c r="F289" s="56">
        <f t="shared" si="23"/>
        <v>-241</v>
      </c>
      <c r="G289" s="57" t="str">
        <f t="shared" si="24"/>
        <v/>
      </c>
      <c r="H289" s="58"/>
    </row>
    <row r="290" spans="1:8">
      <c r="A290" s="52">
        <f t="shared" si="21"/>
        <v>270000</v>
      </c>
      <c r="B290" s="53">
        <f t="shared" si="22"/>
        <v>150</v>
      </c>
      <c r="C290" s="54" t="str">
        <f t="shared" si="20"/>
        <v>CO2</v>
      </c>
      <c r="D290" s="55">
        <f>IFERROR( HLOOKUP(A290,H2O_thicknesses!$1:$2,2, 0),0)</f>
        <v>0</v>
      </c>
      <c r="E290" s="55">
        <f>IFERROR( HLOOKUP(A290,CO2_thicknesses!$1:$2,2),0)</f>
        <v>-1.56510357650737</v>
      </c>
      <c r="F290" s="56">
        <f t="shared" si="23"/>
        <v>-240</v>
      </c>
      <c r="G290" s="57" t="str">
        <f t="shared" si="24"/>
        <v>CO2</v>
      </c>
      <c r="H290" s="58"/>
    </row>
    <row r="291" spans="1:8">
      <c r="A291" s="52">
        <f t="shared" si="21"/>
        <v>271000</v>
      </c>
      <c r="B291" s="53">
        <f t="shared" si="22"/>
        <v>150</v>
      </c>
      <c r="C291" s="54" t="str">
        <f t="shared" si="20"/>
        <v>CO2</v>
      </c>
      <c r="D291" s="55">
        <f>IFERROR( HLOOKUP(A291,H2O_thicknesses!$1:$2,2, 0),0)</f>
        <v>0</v>
      </c>
      <c r="E291" s="55">
        <f>IFERROR( HLOOKUP(A291,CO2_thicknesses!$1:$2,2),0)</f>
        <v>-1.56510357650737</v>
      </c>
      <c r="F291" s="56">
        <f t="shared" si="23"/>
        <v>-239</v>
      </c>
      <c r="G291" s="57" t="str">
        <f t="shared" si="24"/>
        <v/>
      </c>
      <c r="H291" s="58"/>
    </row>
    <row r="292" spans="1:8">
      <c r="A292" s="52">
        <f t="shared" si="21"/>
        <v>272000</v>
      </c>
      <c r="B292" s="53">
        <f t="shared" si="22"/>
        <v>150</v>
      </c>
      <c r="C292" s="54" t="str">
        <f t="shared" si="20"/>
        <v>CO2</v>
      </c>
      <c r="D292" s="55">
        <f>IFERROR( HLOOKUP(A292,H2O_thicknesses!$1:$2,2, 0),0)</f>
        <v>0</v>
      </c>
      <c r="E292" s="55">
        <f>IFERROR( HLOOKUP(A292,CO2_thicknesses!$1:$2,2),0)</f>
        <v>-1.56510357650737</v>
      </c>
      <c r="F292" s="56">
        <f t="shared" si="23"/>
        <v>-238</v>
      </c>
      <c r="G292" s="57" t="str">
        <f t="shared" si="24"/>
        <v/>
      </c>
      <c r="H292" s="58"/>
    </row>
    <row r="293" spans="1:8">
      <c r="A293" s="52">
        <f t="shared" si="21"/>
        <v>273000</v>
      </c>
      <c r="B293" s="53">
        <f t="shared" si="22"/>
        <v>150</v>
      </c>
      <c r="C293" s="54" t="str">
        <f t="shared" si="20"/>
        <v>CO2</v>
      </c>
      <c r="D293" s="55">
        <f>IFERROR( HLOOKUP(A293,H2O_thicknesses!$1:$2,2, 0),0)</f>
        <v>0</v>
      </c>
      <c r="E293" s="55">
        <f>IFERROR( HLOOKUP(A293,CO2_thicknesses!$1:$2,2),0)</f>
        <v>-1.56510357650737</v>
      </c>
      <c r="F293" s="56">
        <f t="shared" si="23"/>
        <v>-237</v>
      </c>
      <c r="G293" s="57" t="str">
        <f t="shared" si="24"/>
        <v/>
      </c>
      <c r="H293" s="58"/>
    </row>
    <row r="294" spans="1:8">
      <c r="A294" s="52">
        <f t="shared" si="21"/>
        <v>274000</v>
      </c>
      <c r="B294" s="53">
        <f t="shared" si="22"/>
        <v>150</v>
      </c>
      <c r="C294" s="54" t="str">
        <f t="shared" si="20"/>
        <v>CO2</v>
      </c>
      <c r="D294" s="55">
        <f>IFERROR( HLOOKUP(A294,H2O_thicknesses!$1:$2,2, 0),0)</f>
        <v>0</v>
      </c>
      <c r="E294" s="55">
        <f>IFERROR( HLOOKUP(A294,CO2_thicknesses!$1:$2,2),0)</f>
        <v>-1.56510357650737</v>
      </c>
      <c r="F294" s="56">
        <f t="shared" si="23"/>
        <v>-236</v>
      </c>
      <c r="G294" s="57" t="str">
        <f t="shared" si="24"/>
        <v/>
      </c>
      <c r="H294" s="58"/>
    </row>
    <row r="295" spans="1:8">
      <c r="A295" s="52">
        <f t="shared" si="21"/>
        <v>275000</v>
      </c>
      <c r="B295" s="53">
        <f t="shared" si="22"/>
        <v>150</v>
      </c>
      <c r="C295" s="54" t="str">
        <f t="shared" si="20"/>
        <v>CO2</v>
      </c>
      <c r="D295" s="55">
        <f>IFERROR( HLOOKUP(A295,H2O_thicknesses!$1:$2,2, 0),0)</f>
        <v>0</v>
      </c>
      <c r="E295" s="55">
        <f>IFERROR( HLOOKUP(A295,CO2_thicknesses!$1:$2,2),0)</f>
        <v>-1.56510357650737</v>
      </c>
      <c r="F295" s="56">
        <f t="shared" si="23"/>
        <v>-235</v>
      </c>
      <c r="G295" s="57" t="str">
        <f t="shared" si="24"/>
        <v/>
      </c>
      <c r="H295" s="58"/>
    </row>
    <row r="296" spans="1:8">
      <c r="A296" s="52">
        <f t="shared" si="21"/>
        <v>276000</v>
      </c>
      <c r="B296" s="53">
        <f t="shared" si="22"/>
        <v>150</v>
      </c>
      <c r="C296" s="54" t="str">
        <f t="shared" si="20"/>
        <v>CO2</v>
      </c>
      <c r="D296" s="55">
        <f>IFERROR( HLOOKUP(A296,H2O_thicknesses!$1:$2,2, 0),0)</f>
        <v>0</v>
      </c>
      <c r="E296" s="55">
        <f>IFERROR( HLOOKUP(A296,CO2_thicknesses!$1:$2,2),0)</f>
        <v>-1.56510357650737</v>
      </c>
      <c r="F296" s="56">
        <f t="shared" si="23"/>
        <v>-234</v>
      </c>
      <c r="G296" s="57" t="str">
        <f t="shared" si="24"/>
        <v/>
      </c>
      <c r="H296" s="58"/>
    </row>
    <row r="297" spans="1:8">
      <c r="A297" s="52">
        <f t="shared" si="21"/>
        <v>277000</v>
      </c>
      <c r="B297" s="53">
        <f t="shared" si="22"/>
        <v>150</v>
      </c>
      <c r="C297" s="54" t="str">
        <f t="shared" si="20"/>
        <v>CO2</v>
      </c>
      <c r="D297" s="55">
        <f>IFERROR( HLOOKUP(A297,H2O_thicknesses!$1:$2,2, 0),0)</f>
        <v>0</v>
      </c>
      <c r="E297" s="55">
        <f>IFERROR( HLOOKUP(A297,CO2_thicknesses!$1:$2,2),0)</f>
        <v>-1.56510357650737</v>
      </c>
      <c r="F297" s="56">
        <f t="shared" si="23"/>
        <v>-233</v>
      </c>
      <c r="G297" s="57" t="str">
        <f t="shared" si="24"/>
        <v/>
      </c>
      <c r="H297" s="58"/>
    </row>
    <row r="298" spans="1:8">
      <c r="A298" s="52">
        <f t="shared" si="21"/>
        <v>278000</v>
      </c>
      <c r="B298" s="53">
        <f t="shared" si="22"/>
        <v>150</v>
      </c>
      <c r="C298" s="54" t="str">
        <f t="shared" si="20"/>
        <v>H2O</v>
      </c>
      <c r="D298" s="55">
        <f>IFERROR( HLOOKUP(A298,H2O_thicknesses!$1:$2,2, 0),0)</f>
        <v>0.14801502529323099</v>
      </c>
      <c r="E298" s="55">
        <f>IFERROR( HLOOKUP(A298,CO2_thicknesses!$1:$2,2),0)</f>
        <v>-1.56510357650737</v>
      </c>
      <c r="F298" s="56">
        <f t="shared" si="23"/>
        <v>-232</v>
      </c>
      <c r="G298" s="57" t="str">
        <f t="shared" si="24"/>
        <v>H2O</v>
      </c>
      <c r="H298" s="58"/>
    </row>
    <row r="299" spans="1:8">
      <c r="A299" s="52">
        <f t="shared" si="21"/>
        <v>279000</v>
      </c>
      <c r="B299" s="53">
        <f t="shared" si="22"/>
        <v>150</v>
      </c>
      <c r="C299" s="54" t="str">
        <f t="shared" si="20"/>
        <v>H2O</v>
      </c>
      <c r="D299" s="55">
        <f>IFERROR( HLOOKUP(A299,H2O_thicknesses!$1:$2,2, 0),0)</f>
        <v>0.15457187724975399</v>
      </c>
      <c r="E299" s="55">
        <f>IFERROR( HLOOKUP(A299,CO2_thicknesses!$1:$2,2),0)</f>
        <v>-1.56510357650737</v>
      </c>
      <c r="F299" s="56">
        <f t="shared" si="23"/>
        <v>-231</v>
      </c>
      <c r="G299" s="57" t="str">
        <f t="shared" si="24"/>
        <v/>
      </c>
      <c r="H299" s="58"/>
    </row>
    <row r="300" spans="1:8">
      <c r="A300" s="52">
        <f t="shared" si="21"/>
        <v>280000</v>
      </c>
      <c r="B300" s="53">
        <f t="shared" si="22"/>
        <v>150</v>
      </c>
      <c r="C300" s="54" t="str">
        <f t="shared" si="20"/>
        <v>H2O</v>
      </c>
      <c r="D300" s="55">
        <f>IFERROR( HLOOKUP(A300,H2O_thicknesses!$1:$2,2, 0),0)</f>
        <v>0.15868923256107301</v>
      </c>
      <c r="E300" s="55">
        <f>IFERROR( HLOOKUP(A300,CO2_thicknesses!$1:$2,2),0)</f>
        <v>-1.56510357650737</v>
      </c>
      <c r="F300" s="56">
        <f t="shared" si="23"/>
        <v>-230</v>
      </c>
      <c r="G300" s="57" t="str">
        <f t="shared" si="24"/>
        <v/>
      </c>
      <c r="H300" s="58"/>
    </row>
    <row r="301" spans="1:8">
      <c r="A301" s="52">
        <f t="shared" si="21"/>
        <v>281000</v>
      </c>
      <c r="B301" s="53">
        <f t="shared" si="22"/>
        <v>150</v>
      </c>
      <c r="C301" s="54" t="str">
        <f t="shared" si="20"/>
        <v>H2O</v>
      </c>
      <c r="D301" s="55">
        <f>IFERROR( HLOOKUP(A301,H2O_thicknesses!$1:$2,2, 0),0)</f>
        <v>0.16037566226422501</v>
      </c>
      <c r="E301" s="55">
        <f>IFERROR( HLOOKUP(A301,CO2_thicknesses!$1:$2,2),0)</f>
        <v>-1.56510357650737</v>
      </c>
      <c r="F301" s="56">
        <f t="shared" si="23"/>
        <v>-229</v>
      </c>
      <c r="G301" s="57" t="str">
        <f t="shared" si="24"/>
        <v/>
      </c>
      <c r="H301" s="58"/>
    </row>
    <row r="302" spans="1:8">
      <c r="A302" s="52">
        <f t="shared" si="21"/>
        <v>282000</v>
      </c>
      <c r="B302" s="53">
        <f t="shared" si="22"/>
        <v>150</v>
      </c>
      <c r="C302" s="54" t="str">
        <f t="shared" si="20"/>
        <v>H2O</v>
      </c>
      <c r="D302" s="55">
        <f>IFERROR( HLOOKUP(A302,H2O_thicknesses!$1:$2,2, 0),0)</f>
        <v>0.16255268742738599</v>
      </c>
      <c r="E302" s="55">
        <f>IFERROR( HLOOKUP(A302,CO2_thicknesses!$1:$2,2),0)</f>
        <v>-1.56510357650737</v>
      </c>
      <c r="F302" s="56">
        <f t="shared" si="23"/>
        <v>-228</v>
      </c>
      <c r="G302" s="57" t="str">
        <f t="shared" si="24"/>
        <v/>
      </c>
      <c r="H302" s="58"/>
    </row>
    <row r="303" spans="1:8">
      <c r="A303" s="52">
        <f t="shared" si="21"/>
        <v>283000</v>
      </c>
      <c r="B303" s="53">
        <f t="shared" si="22"/>
        <v>150</v>
      </c>
      <c r="C303" s="54" t="str">
        <f t="shared" si="20"/>
        <v>H2O</v>
      </c>
      <c r="D303" s="55">
        <f>IFERROR( HLOOKUP(A303,H2O_thicknesses!$1:$2,2, 0),0)</f>
        <v>0.16566765264875999</v>
      </c>
      <c r="E303" s="55">
        <f>IFERROR( HLOOKUP(A303,CO2_thicknesses!$1:$2,2),0)</f>
        <v>-1.56510357650737</v>
      </c>
      <c r="F303" s="56">
        <f t="shared" si="23"/>
        <v>-227</v>
      </c>
      <c r="G303" s="57" t="str">
        <f t="shared" si="24"/>
        <v/>
      </c>
      <c r="H303" s="58"/>
    </row>
    <row r="304" spans="1:8">
      <c r="A304" s="52">
        <f t="shared" si="21"/>
        <v>284000</v>
      </c>
      <c r="B304" s="53">
        <f t="shared" si="22"/>
        <v>150</v>
      </c>
      <c r="C304" s="54" t="str">
        <f t="shared" si="20"/>
        <v>H2O</v>
      </c>
      <c r="D304" s="55">
        <f>IFERROR( HLOOKUP(A304,H2O_thicknesses!$1:$2,2, 0),0)</f>
        <v>0.17110928927149199</v>
      </c>
      <c r="E304" s="55">
        <f>IFERROR( HLOOKUP(A304,CO2_thicknesses!$1:$2,2),0)</f>
        <v>-1.56510357650737</v>
      </c>
      <c r="F304" s="56">
        <f t="shared" si="23"/>
        <v>-226</v>
      </c>
      <c r="G304" s="57" t="str">
        <f t="shared" si="24"/>
        <v/>
      </c>
      <c r="H304" s="58"/>
    </row>
    <row r="305" spans="1:8">
      <c r="A305" s="52">
        <f t="shared" si="21"/>
        <v>285000</v>
      </c>
      <c r="B305" s="53">
        <f t="shared" si="22"/>
        <v>150</v>
      </c>
      <c r="C305" s="54" t="str">
        <f t="shared" si="20"/>
        <v>H2O</v>
      </c>
      <c r="D305" s="55">
        <f>IFERROR( HLOOKUP(A305,H2O_thicknesses!$1:$2,2, 0),0)</f>
        <v>0.17337043008085901</v>
      </c>
      <c r="E305" s="55">
        <f>IFERROR( HLOOKUP(A305,CO2_thicknesses!$1:$2,2),0)</f>
        <v>-1.56510357650737</v>
      </c>
      <c r="F305" s="56">
        <f t="shared" si="23"/>
        <v>-225</v>
      </c>
      <c r="G305" s="57" t="str">
        <f t="shared" si="24"/>
        <v/>
      </c>
      <c r="H305" s="58"/>
    </row>
    <row r="306" spans="1:8">
      <c r="A306" s="52">
        <f t="shared" si="21"/>
        <v>286000</v>
      </c>
      <c r="B306" s="53">
        <f t="shared" si="22"/>
        <v>150</v>
      </c>
      <c r="C306" s="54" t="str">
        <f t="shared" si="20"/>
        <v>H2O</v>
      </c>
      <c r="D306" s="55">
        <f>IFERROR( HLOOKUP(A306,H2O_thicknesses!$1:$2,2, 0),0)</f>
        <v>0.17652956143408899</v>
      </c>
      <c r="E306" s="55">
        <f>IFERROR( HLOOKUP(A306,CO2_thicknesses!$1:$2,2),0)</f>
        <v>-1.56510357650737</v>
      </c>
      <c r="F306" s="56">
        <f t="shared" si="23"/>
        <v>-224</v>
      </c>
      <c r="G306" s="57" t="str">
        <f t="shared" si="24"/>
        <v/>
      </c>
      <c r="H306" s="58"/>
    </row>
    <row r="307" spans="1:8">
      <c r="A307" s="52">
        <f t="shared" si="21"/>
        <v>287000</v>
      </c>
      <c r="B307" s="53">
        <f t="shared" si="22"/>
        <v>150</v>
      </c>
      <c r="C307" s="54" t="str">
        <f t="shared" si="20"/>
        <v>H2O</v>
      </c>
      <c r="D307" s="55">
        <f>IFERROR( HLOOKUP(A307,H2O_thicknesses!$1:$2,2, 0),0)</f>
        <v>0.17881696186912599</v>
      </c>
      <c r="E307" s="55">
        <f>IFERROR( HLOOKUP(A307,CO2_thicknesses!$1:$2,2),0)</f>
        <v>-1.56510357650737</v>
      </c>
      <c r="F307" s="56">
        <f t="shared" si="23"/>
        <v>-223</v>
      </c>
      <c r="G307" s="57" t="str">
        <f t="shared" si="24"/>
        <v/>
      </c>
      <c r="H307" s="58"/>
    </row>
    <row r="308" spans="1:8">
      <c r="A308" s="52">
        <f t="shared" si="21"/>
        <v>288000</v>
      </c>
      <c r="B308" s="53">
        <f t="shared" si="22"/>
        <v>150</v>
      </c>
      <c r="C308" s="54" t="str">
        <f t="shared" si="20"/>
        <v>H2O</v>
      </c>
      <c r="D308" s="55">
        <f>IFERROR( HLOOKUP(A308,H2O_thicknesses!$1:$2,2, 0),0)</f>
        <v>0.17382256040524699</v>
      </c>
      <c r="E308" s="55">
        <f>IFERROR( HLOOKUP(A308,CO2_thicknesses!$1:$2,2),0)</f>
        <v>-1.56510357650737</v>
      </c>
      <c r="F308" s="56">
        <f t="shared" si="23"/>
        <v>-222</v>
      </c>
      <c r="G308" s="57" t="str">
        <f t="shared" si="24"/>
        <v/>
      </c>
      <c r="H308" s="58"/>
    </row>
    <row r="309" spans="1:8">
      <c r="A309" s="52">
        <f t="shared" si="21"/>
        <v>289000</v>
      </c>
      <c r="B309" s="53">
        <f t="shared" si="22"/>
        <v>150</v>
      </c>
      <c r="C309" s="54" t="str">
        <f t="shared" si="20"/>
        <v>H2O</v>
      </c>
      <c r="D309" s="55">
        <f>IFERROR( HLOOKUP(A309,H2O_thicknesses!$1:$2,2, 0),0)</f>
        <v>0.17393818634372901</v>
      </c>
      <c r="E309" s="55">
        <f>IFERROR( HLOOKUP(A309,CO2_thicknesses!$1:$2,2),0)</f>
        <v>-1.56510357650737</v>
      </c>
      <c r="F309" s="56">
        <f t="shared" si="23"/>
        <v>-221</v>
      </c>
      <c r="G309" s="57" t="str">
        <f t="shared" si="24"/>
        <v/>
      </c>
      <c r="H309" s="58"/>
    </row>
    <row r="310" spans="1:8">
      <c r="A310" s="52">
        <f t="shared" si="21"/>
        <v>290000</v>
      </c>
      <c r="B310" s="53">
        <f t="shared" si="22"/>
        <v>150</v>
      </c>
      <c r="C310" s="54" t="str">
        <f t="shared" si="20"/>
        <v>H2O</v>
      </c>
      <c r="D310" s="55">
        <f>IFERROR( HLOOKUP(A310,H2O_thicknesses!$1:$2,2, 0),0)</f>
        <v>0.17662274376863199</v>
      </c>
      <c r="E310" s="55">
        <f>IFERROR( HLOOKUP(A310,CO2_thicknesses!$1:$2,2),0)</f>
        <v>-1.56510357650737</v>
      </c>
      <c r="F310" s="56">
        <f t="shared" si="23"/>
        <v>-220</v>
      </c>
      <c r="G310" s="57" t="str">
        <f t="shared" si="24"/>
        <v/>
      </c>
      <c r="H310" s="58"/>
    </row>
    <row r="311" spans="1:8">
      <c r="A311" s="52">
        <f t="shared" si="21"/>
        <v>291000</v>
      </c>
      <c r="B311" s="53">
        <f t="shared" si="22"/>
        <v>150</v>
      </c>
      <c r="C311" s="54" t="str">
        <f t="shared" si="20"/>
        <v>H2O</v>
      </c>
      <c r="D311" s="55">
        <f>IFERROR( HLOOKUP(A311,H2O_thicknesses!$1:$2,2, 0),0)</f>
        <v>0.179562693217103</v>
      </c>
      <c r="E311" s="55">
        <f>IFERROR( HLOOKUP(A311,CO2_thicknesses!$1:$2,2),0)</f>
        <v>-1.56510357650737</v>
      </c>
      <c r="F311" s="56">
        <f t="shared" si="23"/>
        <v>-219</v>
      </c>
      <c r="G311" s="57" t="str">
        <f t="shared" si="24"/>
        <v/>
      </c>
      <c r="H311" s="58"/>
    </row>
    <row r="312" spans="1:8">
      <c r="A312" s="52">
        <f t="shared" si="21"/>
        <v>292000</v>
      </c>
      <c r="B312" s="53">
        <f t="shared" si="22"/>
        <v>150</v>
      </c>
      <c r="C312" s="54" t="str">
        <f t="shared" si="20"/>
        <v>H2O</v>
      </c>
      <c r="D312" s="55">
        <f>IFERROR( HLOOKUP(A312,H2O_thicknesses!$1:$2,2, 0),0)</f>
        <v>0.173247864488871</v>
      </c>
      <c r="E312" s="55">
        <f>IFERROR( HLOOKUP(A312,CO2_thicknesses!$1:$2,2),0)</f>
        <v>-1.56510357650737</v>
      </c>
      <c r="F312" s="56">
        <f t="shared" si="23"/>
        <v>-218</v>
      </c>
      <c r="G312" s="57" t="str">
        <f t="shared" si="24"/>
        <v/>
      </c>
      <c r="H312" s="58"/>
    </row>
    <row r="313" spans="1:8">
      <c r="A313" s="52">
        <f t="shared" si="21"/>
        <v>293000</v>
      </c>
      <c r="B313" s="53">
        <f t="shared" si="22"/>
        <v>150</v>
      </c>
      <c r="C313" s="54" t="str">
        <f t="shared" si="20"/>
        <v>H2O</v>
      </c>
      <c r="D313" s="55">
        <f>IFERROR( HLOOKUP(A313,H2O_thicknesses!$1:$2,2, 0),0)</f>
        <v>0.173951894179769</v>
      </c>
      <c r="E313" s="55">
        <f>IFERROR( HLOOKUP(A313,CO2_thicknesses!$1:$2,2),0)</f>
        <v>-1.56510357650737</v>
      </c>
      <c r="F313" s="56">
        <f t="shared" si="23"/>
        <v>-217</v>
      </c>
      <c r="G313" s="57" t="str">
        <f t="shared" si="24"/>
        <v/>
      </c>
      <c r="H313" s="58"/>
    </row>
    <row r="314" spans="1:8">
      <c r="A314" s="52">
        <f t="shared" si="21"/>
        <v>294000</v>
      </c>
      <c r="B314" s="53">
        <f t="shared" si="22"/>
        <v>150</v>
      </c>
      <c r="C314" s="54" t="str">
        <f t="shared" si="20"/>
        <v>H2O</v>
      </c>
      <c r="D314" s="55">
        <f>IFERROR( HLOOKUP(A314,H2O_thicknesses!$1:$2,2, 0),0)</f>
        <v>0.17726344645835601</v>
      </c>
      <c r="E314" s="55">
        <f>IFERROR( HLOOKUP(A314,CO2_thicknesses!$1:$2,2),0)</f>
        <v>-1.56510357650737</v>
      </c>
      <c r="F314" s="56">
        <f t="shared" si="23"/>
        <v>-216</v>
      </c>
      <c r="G314" s="57" t="str">
        <f t="shared" si="24"/>
        <v/>
      </c>
      <c r="H314" s="58"/>
    </row>
    <row r="315" spans="1:8">
      <c r="A315" s="52">
        <f t="shared" si="21"/>
        <v>295000</v>
      </c>
      <c r="B315" s="53">
        <f t="shared" si="22"/>
        <v>150</v>
      </c>
      <c r="C315" s="54" t="str">
        <f t="shared" si="20"/>
        <v>H2O</v>
      </c>
      <c r="D315" s="55">
        <f>IFERROR( HLOOKUP(A315,H2O_thicknesses!$1:$2,2, 0),0)</f>
        <v>0.18029175553451299</v>
      </c>
      <c r="E315" s="55">
        <f>IFERROR( HLOOKUP(A315,CO2_thicknesses!$1:$2,2),0)</f>
        <v>-1.56510357650737</v>
      </c>
      <c r="F315" s="56">
        <f t="shared" si="23"/>
        <v>-215</v>
      </c>
      <c r="G315" s="57" t="str">
        <f t="shared" si="24"/>
        <v/>
      </c>
      <c r="H315" s="58"/>
    </row>
    <row r="316" spans="1:8">
      <c r="A316" s="52">
        <f t="shared" si="21"/>
        <v>296000</v>
      </c>
      <c r="B316" s="53">
        <f t="shared" si="22"/>
        <v>150</v>
      </c>
      <c r="C316" s="54" t="str">
        <f t="shared" si="20"/>
        <v>H2O</v>
      </c>
      <c r="D316" s="55">
        <f>IFERROR( HLOOKUP(A316,H2O_thicknesses!$1:$2,2, 0),0)</f>
        <v>0.18281031734856701</v>
      </c>
      <c r="E316" s="55">
        <f>IFERROR( HLOOKUP(A316,CO2_thicknesses!$1:$2,2),0)</f>
        <v>-1.56510357650737</v>
      </c>
      <c r="F316" s="56">
        <f t="shared" si="23"/>
        <v>-214</v>
      </c>
      <c r="G316" s="57" t="str">
        <f t="shared" si="24"/>
        <v/>
      </c>
      <c r="H316" s="58"/>
    </row>
    <row r="317" spans="1:8">
      <c r="A317" s="52">
        <f t="shared" si="21"/>
        <v>297000</v>
      </c>
      <c r="B317" s="53">
        <f t="shared" si="22"/>
        <v>150</v>
      </c>
      <c r="C317" s="54" t="str">
        <f t="shared" si="20"/>
        <v>H2O</v>
      </c>
      <c r="D317" s="55">
        <f>IFERROR( HLOOKUP(A317,H2O_thicknesses!$1:$2,2, 0),0)</f>
        <v>0.18595489183976299</v>
      </c>
      <c r="E317" s="55">
        <f>IFERROR( HLOOKUP(A317,CO2_thicknesses!$1:$2,2),0)</f>
        <v>-1.56510357650737</v>
      </c>
      <c r="F317" s="56">
        <f t="shared" si="23"/>
        <v>-213</v>
      </c>
      <c r="G317" s="57" t="str">
        <f t="shared" si="24"/>
        <v/>
      </c>
      <c r="H317" s="58"/>
    </row>
    <row r="318" spans="1:8">
      <c r="A318" s="52">
        <f t="shared" si="21"/>
        <v>298000</v>
      </c>
      <c r="B318" s="53">
        <f t="shared" si="22"/>
        <v>150</v>
      </c>
      <c r="C318" s="54" t="str">
        <f t="shared" si="20"/>
        <v>H2O</v>
      </c>
      <c r="D318" s="55">
        <f>IFERROR( HLOOKUP(A318,H2O_thicknesses!$1:$2,2, 0),0)</f>
        <v>0.18933573824747901</v>
      </c>
      <c r="E318" s="55">
        <f>IFERROR( HLOOKUP(A318,CO2_thicknesses!$1:$2,2),0)</f>
        <v>-1.56510357650737</v>
      </c>
      <c r="F318" s="56">
        <f t="shared" si="23"/>
        <v>-212</v>
      </c>
      <c r="G318" s="57" t="str">
        <f t="shared" si="24"/>
        <v/>
      </c>
      <c r="H318" s="58"/>
    </row>
    <row r="319" spans="1:8">
      <c r="A319" s="52">
        <f t="shared" si="21"/>
        <v>299000</v>
      </c>
      <c r="B319" s="53">
        <f t="shared" si="22"/>
        <v>150</v>
      </c>
      <c r="C319" s="54" t="str">
        <f t="shared" si="20"/>
        <v>H2O</v>
      </c>
      <c r="D319" s="55">
        <f>IFERROR( HLOOKUP(A319,H2O_thicknesses!$1:$2,2, 0),0)</f>
        <v>0.192433363297382</v>
      </c>
      <c r="E319" s="55">
        <f>IFERROR( HLOOKUP(A319,CO2_thicknesses!$1:$2,2),0)</f>
        <v>-1.56510357650737</v>
      </c>
      <c r="F319" s="56">
        <f t="shared" si="23"/>
        <v>-211</v>
      </c>
      <c r="G319" s="57" t="str">
        <f t="shared" si="24"/>
        <v/>
      </c>
      <c r="H319" s="58"/>
    </row>
    <row r="320" spans="1:8">
      <c r="A320" s="52">
        <f t="shared" si="21"/>
        <v>300000</v>
      </c>
      <c r="B320" s="53">
        <f t="shared" si="22"/>
        <v>150</v>
      </c>
      <c r="C320" s="54" t="str">
        <f t="shared" si="20"/>
        <v>H2O</v>
      </c>
      <c r="D320" s="55">
        <f>IFERROR( HLOOKUP(A320,H2O_thicknesses!$1:$2,2, 0),0)</f>
        <v>0.200508888373511</v>
      </c>
      <c r="E320" s="55">
        <f>IFERROR( HLOOKUP(A320,CO2_thicknesses!$1:$2,2),0)</f>
        <v>-1.56510357650737</v>
      </c>
      <c r="F320" s="56">
        <f t="shared" si="23"/>
        <v>-210</v>
      </c>
      <c r="G320" s="57" t="str">
        <f t="shared" si="24"/>
        <v/>
      </c>
      <c r="H320" s="58"/>
    </row>
    <row r="321" spans="1:8">
      <c r="A321" s="52">
        <f t="shared" si="21"/>
        <v>301000</v>
      </c>
      <c r="B321" s="53">
        <f t="shared" si="22"/>
        <v>150</v>
      </c>
      <c r="C321" s="54" t="str">
        <f t="shared" si="20"/>
        <v>H2O</v>
      </c>
      <c r="D321" s="55">
        <f>IFERROR( HLOOKUP(A321,H2O_thicknesses!$1:$2,2, 0),0)</f>
        <v>0.20178372336591299</v>
      </c>
      <c r="E321" s="55">
        <f>IFERROR( HLOOKUP(A321,CO2_thicknesses!$1:$2,2),0)</f>
        <v>-1.56510357650737</v>
      </c>
      <c r="F321" s="56">
        <f t="shared" si="23"/>
        <v>-209</v>
      </c>
      <c r="G321" s="57" t="str">
        <f t="shared" si="24"/>
        <v/>
      </c>
      <c r="H321" s="58"/>
    </row>
    <row r="322" spans="1:8">
      <c r="A322" s="52">
        <f t="shared" si="21"/>
        <v>302000</v>
      </c>
      <c r="B322" s="53">
        <f t="shared" si="22"/>
        <v>150</v>
      </c>
      <c r="C322" s="54" t="str">
        <f t="shared" si="20"/>
        <v>H2O</v>
      </c>
      <c r="D322" s="55">
        <f>IFERROR( HLOOKUP(A322,H2O_thicknesses!$1:$2,2, 0),0)</f>
        <v>0.20394353313131799</v>
      </c>
      <c r="E322" s="55">
        <f>IFERROR( HLOOKUP(A322,CO2_thicknesses!$1:$2,2),0)</f>
        <v>-1.56510357650737</v>
      </c>
      <c r="F322" s="56">
        <f t="shared" si="23"/>
        <v>-208</v>
      </c>
      <c r="G322" s="57" t="str">
        <f t="shared" si="24"/>
        <v/>
      </c>
      <c r="H322" s="58"/>
    </row>
    <row r="323" spans="1:8">
      <c r="A323" s="52">
        <f t="shared" si="21"/>
        <v>303000</v>
      </c>
      <c r="B323" s="53">
        <f t="shared" si="22"/>
        <v>150</v>
      </c>
      <c r="C323" s="54" t="str">
        <f t="shared" si="20"/>
        <v>H2O</v>
      </c>
      <c r="D323" s="55">
        <f>IFERROR( HLOOKUP(A323,H2O_thicknesses!$1:$2,2, 0),0)</f>
        <v>0.20939223296758999</v>
      </c>
      <c r="E323" s="55">
        <f>IFERROR( HLOOKUP(A323,CO2_thicknesses!$1:$2,2),0)</f>
        <v>-1.56510357650737</v>
      </c>
      <c r="F323" s="56">
        <f t="shared" si="23"/>
        <v>-207</v>
      </c>
      <c r="G323" s="57" t="str">
        <f t="shared" si="24"/>
        <v/>
      </c>
      <c r="H323" s="58"/>
    </row>
    <row r="324" spans="1:8">
      <c r="A324" s="52">
        <f t="shared" si="21"/>
        <v>304000</v>
      </c>
      <c r="B324" s="53">
        <f t="shared" si="22"/>
        <v>150</v>
      </c>
      <c r="C324" s="54" t="str">
        <f t="shared" si="20"/>
        <v>H2O</v>
      </c>
      <c r="D324" s="55">
        <f>IFERROR( HLOOKUP(A324,H2O_thicknesses!$1:$2,2, 0),0)</f>
        <v>0.21752806119641099</v>
      </c>
      <c r="E324" s="55">
        <f>IFERROR( HLOOKUP(A324,CO2_thicknesses!$1:$2,2),0)</f>
        <v>-1.56510357650737</v>
      </c>
      <c r="F324" s="56">
        <f t="shared" si="23"/>
        <v>-206</v>
      </c>
      <c r="G324" s="57" t="str">
        <f t="shared" si="24"/>
        <v/>
      </c>
      <c r="H324" s="58"/>
    </row>
    <row r="325" spans="1:8">
      <c r="A325" s="52">
        <f t="shared" si="21"/>
        <v>305000</v>
      </c>
      <c r="B325" s="53">
        <f t="shared" si="22"/>
        <v>150</v>
      </c>
      <c r="C325" s="54" t="str">
        <f t="shared" si="20"/>
        <v>H2O</v>
      </c>
      <c r="D325" s="55">
        <f>IFERROR( HLOOKUP(A325,H2O_thicknesses!$1:$2,2, 0),0)</f>
        <v>0.22058683615903499</v>
      </c>
      <c r="E325" s="55">
        <f>IFERROR( HLOOKUP(A325,CO2_thicknesses!$1:$2,2),0)</f>
        <v>-1.56510357650737</v>
      </c>
      <c r="F325" s="56">
        <f t="shared" si="23"/>
        <v>-205</v>
      </c>
      <c r="G325" s="57" t="str">
        <f t="shared" si="24"/>
        <v/>
      </c>
      <c r="H325" s="58"/>
    </row>
    <row r="326" spans="1:8">
      <c r="A326" s="52">
        <f t="shared" si="21"/>
        <v>306000</v>
      </c>
      <c r="B326" s="53">
        <f t="shared" si="22"/>
        <v>150</v>
      </c>
      <c r="C326" s="54" t="str">
        <f t="shared" si="20"/>
        <v>H2O</v>
      </c>
      <c r="D326" s="55">
        <f>IFERROR( HLOOKUP(A326,H2O_thicknesses!$1:$2,2, 0),0)</f>
        <v>0.22254820173844</v>
      </c>
      <c r="E326" s="55">
        <f>IFERROR( HLOOKUP(A326,CO2_thicknesses!$1:$2,2),0)</f>
        <v>-1.56510357650737</v>
      </c>
      <c r="F326" s="56">
        <f t="shared" si="23"/>
        <v>-204</v>
      </c>
      <c r="G326" s="57" t="str">
        <f t="shared" si="24"/>
        <v/>
      </c>
      <c r="H326" s="58"/>
    </row>
    <row r="327" spans="1:8">
      <c r="A327" s="52">
        <f t="shared" si="21"/>
        <v>307000</v>
      </c>
      <c r="B327" s="53">
        <f t="shared" si="22"/>
        <v>150</v>
      </c>
      <c r="C327" s="54" t="str">
        <f t="shared" si="20"/>
        <v>H2O</v>
      </c>
      <c r="D327" s="55">
        <f>IFERROR( HLOOKUP(A327,H2O_thicknesses!$1:$2,2, 0),0)</f>
        <v>0.232957343213404</v>
      </c>
      <c r="E327" s="55">
        <f>IFERROR( HLOOKUP(A327,CO2_thicknesses!$1:$2,2),0)</f>
        <v>-1.56510357650737</v>
      </c>
      <c r="F327" s="56">
        <f t="shared" si="23"/>
        <v>-203</v>
      </c>
      <c r="G327" s="57" t="str">
        <f t="shared" si="24"/>
        <v/>
      </c>
      <c r="H327" s="58"/>
    </row>
    <row r="328" spans="1:8">
      <c r="A328" s="52">
        <f t="shared" si="21"/>
        <v>308000</v>
      </c>
      <c r="B328" s="53">
        <f t="shared" si="22"/>
        <v>150</v>
      </c>
      <c r="C328" s="54" t="str">
        <f t="shared" si="20"/>
        <v>H2O</v>
      </c>
      <c r="D328" s="55">
        <f>IFERROR( HLOOKUP(A328,H2O_thicknesses!$1:$2,2, 0),0)</f>
        <v>0.238143621316113</v>
      </c>
      <c r="E328" s="55">
        <f>IFERROR( HLOOKUP(A328,CO2_thicknesses!$1:$2,2),0)</f>
        <v>-1.56510357650737</v>
      </c>
      <c r="F328" s="56">
        <f t="shared" si="23"/>
        <v>-202</v>
      </c>
      <c r="G328" s="57" t="str">
        <f t="shared" si="24"/>
        <v/>
      </c>
      <c r="H328" s="58"/>
    </row>
    <row r="329" spans="1:8">
      <c r="A329" s="52">
        <f t="shared" si="21"/>
        <v>309000</v>
      </c>
      <c r="B329" s="53">
        <f t="shared" si="22"/>
        <v>150</v>
      </c>
      <c r="C329" s="54" t="str">
        <f t="shared" si="20"/>
        <v>H2O</v>
      </c>
      <c r="D329" s="55">
        <f>IFERROR( HLOOKUP(A329,H2O_thicknesses!$1:$2,2, 0),0)</f>
        <v>0.24096292844967099</v>
      </c>
      <c r="E329" s="55">
        <f>IFERROR( HLOOKUP(A329,CO2_thicknesses!$1:$2,2),0)</f>
        <v>-1.56510357650737</v>
      </c>
      <c r="F329" s="56">
        <f t="shared" si="23"/>
        <v>-201</v>
      </c>
      <c r="G329" s="57" t="str">
        <f t="shared" si="24"/>
        <v/>
      </c>
      <c r="H329" s="58"/>
    </row>
    <row r="330" spans="1:8">
      <c r="A330" s="52">
        <f t="shared" si="21"/>
        <v>310000</v>
      </c>
      <c r="B330" s="53">
        <f t="shared" si="22"/>
        <v>150</v>
      </c>
      <c r="C330" s="54" t="str">
        <f t="shared" si="20"/>
        <v>H2O</v>
      </c>
      <c r="D330" s="55">
        <f>IFERROR( HLOOKUP(A330,H2O_thicknesses!$1:$2,2, 0),0)</f>
        <v>0.24765877198516101</v>
      </c>
      <c r="E330" s="55">
        <f>IFERROR( HLOOKUP(A330,CO2_thicknesses!$1:$2,2),0)</f>
        <v>-1.56510357650737</v>
      </c>
      <c r="F330" s="56">
        <f t="shared" si="23"/>
        <v>-200</v>
      </c>
      <c r="G330" s="57" t="str">
        <f t="shared" si="24"/>
        <v/>
      </c>
      <c r="H330" s="58"/>
    </row>
    <row r="331" spans="1:8">
      <c r="A331" s="52">
        <f t="shared" si="21"/>
        <v>311000</v>
      </c>
      <c r="B331" s="53">
        <f t="shared" si="22"/>
        <v>150</v>
      </c>
      <c r="C331" s="54" t="str">
        <f t="shared" si="20"/>
        <v>H2O</v>
      </c>
      <c r="D331" s="55">
        <f>IFERROR( HLOOKUP(A331,H2O_thicknesses!$1:$2,2, 0),0)</f>
        <v>0.257976687706575</v>
      </c>
      <c r="E331" s="55">
        <f>IFERROR( HLOOKUP(A331,CO2_thicknesses!$1:$2,2),0)</f>
        <v>-1.56510357650737</v>
      </c>
      <c r="F331" s="56">
        <f t="shared" si="23"/>
        <v>-199</v>
      </c>
      <c r="G331" s="57" t="str">
        <f t="shared" si="24"/>
        <v/>
      </c>
      <c r="H331" s="58"/>
    </row>
    <row r="332" spans="1:8">
      <c r="A332" s="52">
        <f t="shared" si="21"/>
        <v>312000</v>
      </c>
      <c r="B332" s="53">
        <f t="shared" si="22"/>
        <v>150</v>
      </c>
      <c r="C332" s="54" t="str">
        <f t="shared" si="20"/>
        <v>H2O</v>
      </c>
      <c r="D332" s="55">
        <f>IFERROR( HLOOKUP(A332,H2O_thicknesses!$1:$2,2, 0),0)</f>
        <v>0.256676470626233</v>
      </c>
      <c r="E332" s="55">
        <f>IFERROR( HLOOKUP(A332,CO2_thicknesses!$1:$2,2),0)</f>
        <v>-1.56510357650737</v>
      </c>
      <c r="F332" s="56">
        <f t="shared" si="23"/>
        <v>-198</v>
      </c>
      <c r="G332" s="57" t="str">
        <f t="shared" si="24"/>
        <v/>
      </c>
      <c r="H332" s="58"/>
    </row>
    <row r="333" spans="1:8">
      <c r="A333" s="52">
        <f t="shared" si="21"/>
        <v>313000</v>
      </c>
      <c r="B333" s="53">
        <f t="shared" si="22"/>
        <v>150</v>
      </c>
      <c r="C333" s="54" t="str">
        <f t="shared" si="20"/>
        <v>H2O</v>
      </c>
      <c r="D333" s="55">
        <f>IFERROR( HLOOKUP(A333,H2O_thicknesses!$1:$2,2, 0),0)</f>
        <v>0.25720114042103798</v>
      </c>
      <c r="E333" s="55">
        <f>IFERROR( HLOOKUP(A333,CO2_thicknesses!$1:$2,2),0)</f>
        <v>-1.56510357650737</v>
      </c>
      <c r="F333" s="56">
        <f t="shared" si="23"/>
        <v>-197</v>
      </c>
      <c r="G333" s="57" t="str">
        <f t="shared" si="24"/>
        <v/>
      </c>
      <c r="H333" s="58"/>
    </row>
    <row r="334" spans="1:8">
      <c r="A334" s="52">
        <f t="shared" si="21"/>
        <v>314000</v>
      </c>
      <c r="B334" s="53">
        <f t="shared" si="22"/>
        <v>150</v>
      </c>
      <c r="C334" s="54" t="str">
        <f t="shared" si="20"/>
        <v>H2O</v>
      </c>
      <c r="D334" s="55">
        <f>IFERROR( HLOOKUP(A334,H2O_thicknesses!$1:$2,2, 0),0)</f>
        <v>0.24473120274691401</v>
      </c>
      <c r="E334" s="55">
        <f>IFERROR( HLOOKUP(A334,CO2_thicknesses!$1:$2,2),0)</f>
        <v>-1.56510357650737</v>
      </c>
      <c r="F334" s="56">
        <f t="shared" si="23"/>
        <v>-196</v>
      </c>
      <c r="G334" s="57" t="str">
        <f t="shared" si="24"/>
        <v/>
      </c>
      <c r="H334" s="58"/>
    </row>
    <row r="335" spans="1:8">
      <c r="A335" s="52">
        <f t="shared" si="21"/>
        <v>315000</v>
      </c>
      <c r="B335" s="53">
        <f t="shared" si="22"/>
        <v>150</v>
      </c>
      <c r="C335" s="54" t="str">
        <f t="shared" si="20"/>
        <v>H2O</v>
      </c>
      <c r="D335" s="55">
        <f>IFERROR( HLOOKUP(A335,H2O_thicknesses!$1:$2,2, 0),0)</f>
        <v>0.236106908513079</v>
      </c>
      <c r="E335" s="55">
        <f>IFERROR( HLOOKUP(A335,CO2_thicknesses!$1:$2,2),0)</f>
        <v>-1.56510357650737</v>
      </c>
      <c r="F335" s="56">
        <f t="shared" si="23"/>
        <v>-195</v>
      </c>
      <c r="G335" s="57" t="str">
        <f t="shared" si="24"/>
        <v/>
      </c>
      <c r="H335" s="58"/>
    </row>
    <row r="336" spans="1:8">
      <c r="A336" s="52">
        <f t="shared" si="21"/>
        <v>316000</v>
      </c>
      <c r="B336" s="53">
        <f t="shared" si="22"/>
        <v>150</v>
      </c>
      <c r="C336" s="54" t="str">
        <f t="shared" si="20"/>
        <v>H2O</v>
      </c>
      <c r="D336" s="55">
        <f>IFERROR( HLOOKUP(A336,H2O_thicknesses!$1:$2,2, 0),0)</f>
        <v>0.25609669184980099</v>
      </c>
      <c r="E336" s="55">
        <f>IFERROR( HLOOKUP(A336,CO2_thicknesses!$1:$2,2),0)</f>
        <v>-1.56510357650737</v>
      </c>
      <c r="F336" s="56">
        <f t="shared" si="23"/>
        <v>-194</v>
      </c>
      <c r="G336" s="57" t="str">
        <f t="shared" si="24"/>
        <v/>
      </c>
      <c r="H336" s="58"/>
    </row>
    <row r="337" spans="1:8">
      <c r="A337" s="52">
        <f t="shared" si="21"/>
        <v>317000</v>
      </c>
      <c r="B337" s="53">
        <f t="shared" si="22"/>
        <v>150</v>
      </c>
      <c r="C337" s="54" t="str">
        <f t="shared" si="20"/>
        <v>H2O</v>
      </c>
      <c r="D337" s="55">
        <f>IFERROR( HLOOKUP(A337,H2O_thicknesses!$1:$2,2, 0),0)</f>
        <v>0.25226863007828099</v>
      </c>
      <c r="E337" s="55">
        <f>IFERROR( HLOOKUP(A337,CO2_thicknesses!$1:$2,2),0)</f>
        <v>-1.56510357650737</v>
      </c>
      <c r="F337" s="56">
        <f t="shared" si="23"/>
        <v>-193</v>
      </c>
      <c r="G337" s="57" t="str">
        <f t="shared" si="24"/>
        <v/>
      </c>
      <c r="H337" s="58"/>
    </row>
    <row r="338" spans="1:8">
      <c r="A338" s="52">
        <f t="shared" si="21"/>
        <v>318000</v>
      </c>
      <c r="B338" s="53">
        <f t="shared" si="22"/>
        <v>150</v>
      </c>
      <c r="C338" s="54" t="str">
        <f t="shared" si="20"/>
        <v>H2O</v>
      </c>
      <c r="D338" s="55">
        <f>IFERROR( HLOOKUP(A338,H2O_thicknesses!$1:$2,2, 0),0)</f>
        <v>0.24450457802195899</v>
      </c>
      <c r="E338" s="55">
        <f>IFERROR( HLOOKUP(A338,CO2_thicknesses!$1:$2,2),0)</f>
        <v>-1.56510357650737</v>
      </c>
      <c r="F338" s="56">
        <f t="shared" si="23"/>
        <v>-192</v>
      </c>
      <c r="G338" s="57" t="str">
        <f t="shared" si="24"/>
        <v/>
      </c>
      <c r="H338" s="58"/>
    </row>
    <row r="339" spans="1:8">
      <c r="A339" s="52">
        <f t="shared" si="21"/>
        <v>319000</v>
      </c>
      <c r="B339" s="53">
        <f t="shared" si="22"/>
        <v>150</v>
      </c>
      <c r="C339" s="54" t="str">
        <f t="shared" si="20"/>
        <v>H2O</v>
      </c>
      <c r="D339" s="55">
        <f>IFERROR( HLOOKUP(A339,H2O_thicknesses!$1:$2,2, 0),0)</f>
        <v>0.24142252597859901</v>
      </c>
      <c r="E339" s="55">
        <f>IFERROR( HLOOKUP(A339,CO2_thicknesses!$1:$2,2),0)</f>
        <v>-1.56510357650737</v>
      </c>
      <c r="F339" s="56">
        <f t="shared" si="23"/>
        <v>-191</v>
      </c>
      <c r="G339" s="57" t="str">
        <f t="shared" si="24"/>
        <v/>
      </c>
      <c r="H339" s="58"/>
    </row>
    <row r="340" spans="1:8">
      <c r="A340" s="52">
        <f t="shared" si="21"/>
        <v>320000</v>
      </c>
      <c r="B340" s="53">
        <f t="shared" si="22"/>
        <v>150</v>
      </c>
      <c r="C340" s="54" t="str">
        <f t="shared" ref="C340:C403" si="25">IF(D340=0, "CO2", "H2O")</f>
        <v>H2O</v>
      </c>
      <c r="D340" s="55">
        <f>IFERROR( HLOOKUP(A340,H2O_thicknesses!$1:$2,2, 0),0)</f>
        <v>0.24087066599732801</v>
      </c>
      <c r="E340" s="55">
        <f>IFERROR( HLOOKUP(A340,CO2_thicknesses!$1:$2,2),0)</f>
        <v>-1.56510357650737</v>
      </c>
      <c r="F340" s="56">
        <f t="shared" si="23"/>
        <v>-190</v>
      </c>
      <c r="G340" s="57" t="str">
        <f t="shared" si="24"/>
        <v/>
      </c>
      <c r="H340" s="58"/>
    </row>
    <row r="341" spans="1:8">
      <c r="A341" s="52">
        <f t="shared" ref="A341:A404" si="26">A340+1000</f>
        <v>321000</v>
      </c>
      <c r="B341" s="53">
        <f t="shared" ref="B341:B404" si="27">B340</f>
        <v>150</v>
      </c>
      <c r="C341" s="54" t="str">
        <f t="shared" si="25"/>
        <v>H2O</v>
      </c>
      <c r="D341" s="55">
        <f>IFERROR( HLOOKUP(A341,H2O_thicknesses!$1:$2,2, 0),0)</f>
        <v>0.23610234155947801</v>
      </c>
      <c r="E341" s="55">
        <f>IFERROR( HLOOKUP(A341,CO2_thicknesses!$1:$2,2),0)</f>
        <v>-1.56510357650737</v>
      </c>
      <c r="F341" s="56">
        <f t="shared" ref="F341:F404" si="28">F340+1</f>
        <v>-189</v>
      </c>
      <c r="G341" s="57" t="str">
        <f t="shared" ref="G341:G404" si="29">IF(C340&lt;&gt;C341,C341,"")</f>
        <v/>
      </c>
      <c r="H341" s="58"/>
    </row>
    <row r="342" spans="1:8">
      <c r="A342" s="52">
        <f t="shared" si="26"/>
        <v>322000</v>
      </c>
      <c r="B342" s="53">
        <f t="shared" si="27"/>
        <v>150</v>
      </c>
      <c r="C342" s="54" t="str">
        <f t="shared" si="25"/>
        <v>H2O</v>
      </c>
      <c r="D342" s="55">
        <f>IFERROR( HLOOKUP(A342,H2O_thicknesses!$1:$2,2, 0),0)</f>
        <v>0.23615629812930999</v>
      </c>
      <c r="E342" s="55">
        <f>IFERROR( HLOOKUP(A342,CO2_thicknesses!$1:$2,2),0)</f>
        <v>-1.56510357650737</v>
      </c>
      <c r="F342" s="56">
        <f t="shared" si="28"/>
        <v>-188</v>
      </c>
      <c r="G342" s="57" t="str">
        <f t="shared" si="29"/>
        <v/>
      </c>
      <c r="H342" s="58">
        <v>6.9165269600634304E-5</v>
      </c>
    </row>
    <row r="343" spans="1:8">
      <c r="A343" s="52">
        <f t="shared" si="26"/>
        <v>323000</v>
      </c>
      <c r="B343" s="53">
        <f t="shared" si="27"/>
        <v>150</v>
      </c>
      <c r="C343" s="54" t="str">
        <f t="shared" si="25"/>
        <v>H2O</v>
      </c>
      <c r="D343" s="55">
        <f>IFERROR( HLOOKUP(A343,H2O_thicknesses!$1:$2,2, 0),0)</f>
        <v>0.230523851855991</v>
      </c>
      <c r="E343" s="55">
        <f>IFERROR( HLOOKUP(A343,CO2_thicknesses!$1:$2,2),0)</f>
        <v>-1.56510357650737</v>
      </c>
      <c r="F343" s="56">
        <f t="shared" si="28"/>
        <v>-187</v>
      </c>
      <c r="G343" s="57" t="str">
        <f t="shared" si="29"/>
        <v/>
      </c>
      <c r="H343" s="58"/>
    </row>
    <row r="344" spans="1:8">
      <c r="A344" s="52">
        <f t="shared" si="26"/>
        <v>324000</v>
      </c>
      <c r="B344" s="53">
        <f t="shared" si="27"/>
        <v>150</v>
      </c>
      <c r="C344" s="54" t="str">
        <f t="shared" si="25"/>
        <v>H2O</v>
      </c>
      <c r="D344" s="55">
        <f>IFERROR( HLOOKUP(A344,H2O_thicknesses!$1:$2,2, 0),0)</f>
        <v>0.22407293901297501</v>
      </c>
      <c r="E344" s="55">
        <f>IFERROR( HLOOKUP(A344,CO2_thicknesses!$1:$2,2),0)</f>
        <v>-1.56510357650737</v>
      </c>
      <c r="F344" s="56">
        <f t="shared" si="28"/>
        <v>-186</v>
      </c>
      <c r="G344" s="57" t="str">
        <f t="shared" si="29"/>
        <v/>
      </c>
      <c r="H344" s="58"/>
    </row>
    <row r="345" spans="1:8">
      <c r="A345" s="52">
        <f t="shared" si="26"/>
        <v>325000</v>
      </c>
      <c r="B345" s="53">
        <f t="shared" si="27"/>
        <v>150</v>
      </c>
      <c r="C345" s="54" t="str">
        <f t="shared" si="25"/>
        <v>H2O</v>
      </c>
      <c r="D345" s="55">
        <f>IFERROR( HLOOKUP(A345,H2O_thicknesses!$1:$2,2, 0),0)</f>
        <v>0.222098030691149</v>
      </c>
      <c r="E345" s="55">
        <f>IFERROR( HLOOKUP(A345,CO2_thicknesses!$1:$2,2),0)</f>
        <v>-1.56510357650737</v>
      </c>
      <c r="F345" s="56">
        <f t="shared" si="28"/>
        <v>-185</v>
      </c>
      <c r="G345" s="57" t="str">
        <f t="shared" si="29"/>
        <v/>
      </c>
      <c r="H345" s="58"/>
    </row>
    <row r="346" spans="1:8">
      <c r="A346" s="52">
        <f t="shared" si="26"/>
        <v>326000</v>
      </c>
      <c r="B346" s="53">
        <f t="shared" si="27"/>
        <v>150</v>
      </c>
      <c r="C346" s="54" t="str">
        <f t="shared" si="25"/>
        <v>H2O</v>
      </c>
      <c r="D346" s="55">
        <f>IFERROR( HLOOKUP(A346,H2O_thicknesses!$1:$2,2, 0),0)</f>
        <v>0.22648427323261899</v>
      </c>
      <c r="E346" s="55">
        <f>IFERROR( HLOOKUP(A346,CO2_thicknesses!$1:$2,2),0)</f>
        <v>-1.56510357650737</v>
      </c>
      <c r="F346" s="56">
        <f t="shared" si="28"/>
        <v>-184</v>
      </c>
      <c r="G346" s="57" t="str">
        <f t="shared" si="29"/>
        <v/>
      </c>
      <c r="H346" s="58"/>
    </row>
    <row r="347" spans="1:8">
      <c r="A347" s="52">
        <f t="shared" si="26"/>
        <v>327000</v>
      </c>
      <c r="B347" s="53">
        <f t="shared" si="27"/>
        <v>150</v>
      </c>
      <c r="C347" s="54" t="str">
        <f t="shared" si="25"/>
        <v>H2O</v>
      </c>
      <c r="D347" s="55">
        <f>IFERROR( HLOOKUP(A347,H2O_thicknesses!$1:$2,2, 0),0)</f>
        <v>0.22341294131450601</v>
      </c>
      <c r="E347" s="55">
        <f>IFERROR( HLOOKUP(A347,CO2_thicknesses!$1:$2,2),0)</f>
        <v>-1.56510357650737</v>
      </c>
      <c r="F347" s="56">
        <f t="shared" si="28"/>
        <v>-183</v>
      </c>
      <c r="G347" s="57" t="str">
        <f t="shared" si="29"/>
        <v/>
      </c>
      <c r="H347" s="58"/>
    </row>
    <row r="348" spans="1:8">
      <c r="A348" s="52">
        <f t="shared" si="26"/>
        <v>328000</v>
      </c>
      <c r="B348" s="53">
        <f t="shared" si="27"/>
        <v>150</v>
      </c>
      <c r="C348" s="54" t="str">
        <f t="shared" si="25"/>
        <v>H2O</v>
      </c>
      <c r="D348" s="55">
        <f>IFERROR( HLOOKUP(A348,H2O_thicknesses!$1:$2,2, 0),0)</f>
        <v>0.21989877820693399</v>
      </c>
      <c r="E348" s="55">
        <f>IFERROR( HLOOKUP(A348,CO2_thicknesses!$1:$2,2),0)</f>
        <v>-1.56510357650737</v>
      </c>
      <c r="F348" s="56">
        <f t="shared" si="28"/>
        <v>-182</v>
      </c>
      <c r="G348" s="57" t="str">
        <f t="shared" si="29"/>
        <v/>
      </c>
      <c r="H348" s="58"/>
    </row>
    <row r="349" spans="1:8">
      <c r="A349" s="52">
        <f t="shared" si="26"/>
        <v>329000</v>
      </c>
      <c r="B349" s="53">
        <f t="shared" si="27"/>
        <v>150</v>
      </c>
      <c r="C349" s="54" t="str">
        <f t="shared" si="25"/>
        <v>H2O</v>
      </c>
      <c r="D349" s="55">
        <f>IFERROR( HLOOKUP(A349,H2O_thicknesses!$1:$2,2, 0),0)</f>
        <v>0.22130596795829899</v>
      </c>
      <c r="E349" s="55">
        <f>IFERROR( HLOOKUP(A349,CO2_thicknesses!$1:$2,2),0)</f>
        <v>-1.56510357650737</v>
      </c>
      <c r="F349" s="56">
        <f t="shared" si="28"/>
        <v>-181</v>
      </c>
      <c r="G349" s="57" t="str">
        <f t="shared" si="29"/>
        <v/>
      </c>
      <c r="H349" s="58"/>
    </row>
    <row r="350" spans="1:8">
      <c r="A350" s="52">
        <f t="shared" si="26"/>
        <v>330000</v>
      </c>
      <c r="B350" s="53">
        <f t="shared" si="27"/>
        <v>150</v>
      </c>
      <c r="C350" s="54" t="str">
        <f t="shared" si="25"/>
        <v>H2O</v>
      </c>
      <c r="D350" s="55">
        <f>IFERROR( HLOOKUP(A350,H2O_thicknesses!$1:$2,2, 0),0)</f>
        <v>0.20147568542858199</v>
      </c>
      <c r="E350" s="55">
        <f>IFERROR( HLOOKUP(A350,CO2_thicknesses!$1:$2,2),0)</f>
        <v>-1.56510357650737</v>
      </c>
      <c r="F350" s="56">
        <f t="shared" si="28"/>
        <v>-180</v>
      </c>
      <c r="G350" s="57" t="str">
        <f t="shared" si="29"/>
        <v/>
      </c>
      <c r="H350" s="58"/>
    </row>
    <row r="351" spans="1:8">
      <c r="A351" s="52">
        <f t="shared" si="26"/>
        <v>331000</v>
      </c>
      <c r="B351" s="53">
        <f t="shared" si="27"/>
        <v>150</v>
      </c>
      <c r="C351" s="54" t="str">
        <f t="shared" si="25"/>
        <v>H2O</v>
      </c>
      <c r="D351" s="55">
        <f>IFERROR( HLOOKUP(A351,H2O_thicknesses!$1:$2,2, 0),0)</f>
        <v>0.185271110923726</v>
      </c>
      <c r="E351" s="55">
        <f>IFERROR( HLOOKUP(A351,CO2_thicknesses!$1:$2,2),0)</f>
        <v>-1.56510357650737</v>
      </c>
      <c r="F351" s="56">
        <f t="shared" si="28"/>
        <v>-179</v>
      </c>
      <c r="G351" s="57" t="str">
        <f t="shared" si="29"/>
        <v/>
      </c>
      <c r="H351" s="58"/>
    </row>
    <row r="352" spans="1:8">
      <c r="A352" s="52">
        <f t="shared" si="26"/>
        <v>332000</v>
      </c>
      <c r="B352" s="53">
        <f t="shared" si="27"/>
        <v>150</v>
      </c>
      <c r="C352" s="54" t="str">
        <f t="shared" si="25"/>
        <v>CO2</v>
      </c>
      <c r="D352" s="55">
        <f>IFERROR( HLOOKUP(A352,H2O_thicknesses!$1:$2,2, 0),0)</f>
        <v>0</v>
      </c>
      <c r="E352" s="55">
        <f>IFERROR( HLOOKUP(A352,CO2_thicknesses!$1:$2,2),0)</f>
        <v>-1.56510357650737</v>
      </c>
      <c r="F352" s="56">
        <f t="shared" si="28"/>
        <v>-178</v>
      </c>
      <c r="G352" s="57" t="str">
        <f t="shared" si="29"/>
        <v>CO2</v>
      </c>
      <c r="H352" s="58"/>
    </row>
    <row r="353" spans="1:8">
      <c r="A353" s="52">
        <f t="shared" si="26"/>
        <v>333000</v>
      </c>
      <c r="B353" s="53">
        <f t="shared" si="27"/>
        <v>150</v>
      </c>
      <c r="C353" s="54" t="str">
        <f t="shared" si="25"/>
        <v>CO2</v>
      </c>
      <c r="D353" s="55">
        <f>IFERROR( HLOOKUP(A353,H2O_thicknesses!$1:$2,2, 0),0)</f>
        <v>0</v>
      </c>
      <c r="E353" s="55">
        <f>IFERROR( HLOOKUP(A353,CO2_thicknesses!$1:$2,2),0)</f>
        <v>-1.56510357650737</v>
      </c>
      <c r="F353" s="56">
        <f t="shared" si="28"/>
        <v>-177</v>
      </c>
      <c r="G353" s="57" t="str">
        <f t="shared" si="29"/>
        <v/>
      </c>
      <c r="H353" s="58"/>
    </row>
    <row r="354" spans="1:8">
      <c r="A354" s="52">
        <f t="shared" si="26"/>
        <v>334000</v>
      </c>
      <c r="B354" s="53">
        <f t="shared" si="27"/>
        <v>150</v>
      </c>
      <c r="C354" s="54" t="str">
        <f t="shared" si="25"/>
        <v>CO2</v>
      </c>
      <c r="D354" s="55">
        <f>IFERROR( HLOOKUP(A354,H2O_thicknesses!$1:$2,2, 0),0)</f>
        <v>0</v>
      </c>
      <c r="E354" s="55">
        <f>IFERROR( HLOOKUP(A354,CO2_thicknesses!$1:$2,2),0)</f>
        <v>-1.56510357650737</v>
      </c>
      <c r="F354" s="56">
        <f t="shared" si="28"/>
        <v>-176</v>
      </c>
      <c r="G354" s="57" t="str">
        <f t="shared" si="29"/>
        <v/>
      </c>
      <c r="H354" s="58"/>
    </row>
    <row r="355" spans="1:8">
      <c r="A355" s="52">
        <f t="shared" si="26"/>
        <v>335000</v>
      </c>
      <c r="B355" s="53">
        <f t="shared" si="27"/>
        <v>150</v>
      </c>
      <c r="C355" s="54" t="str">
        <f t="shared" si="25"/>
        <v>CO2</v>
      </c>
      <c r="D355" s="55">
        <f>IFERROR( HLOOKUP(A355,H2O_thicknesses!$1:$2,2, 0),0)</f>
        <v>0</v>
      </c>
      <c r="E355" s="55">
        <f>IFERROR( HLOOKUP(A355,CO2_thicknesses!$1:$2,2),0)</f>
        <v>-1.56510357650737</v>
      </c>
      <c r="F355" s="56">
        <f t="shared" si="28"/>
        <v>-175</v>
      </c>
      <c r="G355" s="57" t="str">
        <f t="shared" si="29"/>
        <v/>
      </c>
      <c r="H355" s="58"/>
    </row>
    <row r="356" spans="1:8">
      <c r="A356" s="52">
        <f t="shared" si="26"/>
        <v>336000</v>
      </c>
      <c r="B356" s="53">
        <f t="shared" si="27"/>
        <v>150</v>
      </c>
      <c r="C356" s="54" t="str">
        <f t="shared" si="25"/>
        <v>CO2</v>
      </c>
      <c r="D356" s="55">
        <f>IFERROR( HLOOKUP(A356,H2O_thicknesses!$1:$2,2, 0),0)</f>
        <v>0</v>
      </c>
      <c r="E356" s="55">
        <f>IFERROR( HLOOKUP(A356,CO2_thicknesses!$1:$2,2),0)</f>
        <v>-1.56510357650737</v>
      </c>
      <c r="F356" s="56">
        <f t="shared" si="28"/>
        <v>-174</v>
      </c>
      <c r="G356" s="57" t="str">
        <f t="shared" si="29"/>
        <v/>
      </c>
      <c r="H356" s="58"/>
    </row>
    <row r="357" spans="1:8">
      <c r="A357" s="52">
        <f t="shared" si="26"/>
        <v>337000</v>
      </c>
      <c r="B357" s="53">
        <f t="shared" si="27"/>
        <v>150</v>
      </c>
      <c r="C357" s="54" t="str">
        <f t="shared" si="25"/>
        <v>CO2</v>
      </c>
      <c r="D357" s="55">
        <f>IFERROR( HLOOKUP(A357,H2O_thicknesses!$1:$2,2, 0),0)</f>
        <v>0</v>
      </c>
      <c r="E357" s="55">
        <f>IFERROR( HLOOKUP(A357,CO2_thicknesses!$1:$2,2),0)</f>
        <v>-1.56510357650737</v>
      </c>
      <c r="F357" s="56">
        <f t="shared" si="28"/>
        <v>-173</v>
      </c>
      <c r="G357" s="57" t="str">
        <f t="shared" si="29"/>
        <v/>
      </c>
      <c r="H357" s="58"/>
    </row>
    <row r="358" spans="1:8">
      <c r="A358" s="52">
        <f t="shared" si="26"/>
        <v>338000</v>
      </c>
      <c r="B358" s="53">
        <f t="shared" si="27"/>
        <v>150</v>
      </c>
      <c r="C358" s="54" t="str">
        <f t="shared" si="25"/>
        <v>CO2</v>
      </c>
      <c r="D358" s="55">
        <f>IFERROR( HLOOKUP(A358,H2O_thicknesses!$1:$2,2, 0),0)</f>
        <v>0</v>
      </c>
      <c r="E358" s="55">
        <f>IFERROR( HLOOKUP(A358,CO2_thicknesses!$1:$2,2),0)</f>
        <v>-1.56510357650737</v>
      </c>
      <c r="F358" s="56">
        <f t="shared" si="28"/>
        <v>-172</v>
      </c>
      <c r="G358" s="57" t="str">
        <f t="shared" si="29"/>
        <v/>
      </c>
      <c r="H358" s="58"/>
    </row>
    <row r="359" spans="1:8">
      <c r="A359" s="52">
        <f t="shared" si="26"/>
        <v>339000</v>
      </c>
      <c r="B359" s="53">
        <f t="shared" si="27"/>
        <v>150</v>
      </c>
      <c r="C359" s="54" t="str">
        <f t="shared" si="25"/>
        <v>CO2</v>
      </c>
      <c r="D359" s="55">
        <f>IFERROR( HLOOKUP(A359,H2O_thicknesses!$1:$2,2, 0),0)</f>
        <v>0</v>
      </c>
      <c r="E359" s="55">
        <f>IFERROR( HLOOKUP(A359,CO2_thicknesses!$1:$2,2),0)</f>
        <v>-1.56510357650737</v>
      </c>
      <c r="F359" s="56">
        <f t="shared" si="28"/>
        <v>-171</v>
      </c>
      <c r="G359" s="57" t="str">
        <f t="shared" si="29"/>
        <v/>
      </c>
      <c r="H359" s="58"/>
    </row>
    <row r="360" spans="1:8">
      <c r="A360" s="52">
        <f t="shared" si="26"/>
        <v>340000</v>
      </c>
      <c r="B360" s="53">
        <f t="shared" si="27"/>
        <v>150</v>
      </c>
      <c r="C360" s="54" t="str">
        <f t="shared" si="25"/>
        <v>CO2</v>
      </c>
      <c r="D360" s="55">
        <f>IFERROR( HLOOKUP(A360,H2O_thicknesses!$1:$2,2, 0),0)</f>
        <v>0</v>
      </c>
      <c r="E360" s="55">
        <f>IFERROR( HLOOKUP(A360,CO2_thicknesses!$1:$2,2),0)</f>
        <v>-1.56510357650737</v>
      </c>
      <c r="F360" s="56">
        <f t="shared" si="28"/>
        <v>-170</v>
      </c>
      <c r="G360" s="57" t="str">
        <f t="shared" si="29"/>
        <v/>
      </c>
      <c r="H360" s="58"/>
    </row>
    <row r="361" spans="1:8">
      <c r="A361" s="52">
        <f t="shared" si="26"/>
        <v>341000</v>
      </c>
      <c r="B361" s="53">
        <f t="shared" si="27"/>
        <v>150</v>
      </c>
      <c r="C361" s="54" t="str">
        <f t="shared" si="25"/>
        <v>CO2</v>
      </c>
      <c r="D361" s="55">
        <f>IFERROR( HLOOKUP(A361,H2O_thicknesses!$1:$2,2, 0),0)</f>
        <v>0</v>
      </c>
      <c r="E361" s="55">
        <f>IFERROR( HLOOKUP(A361,CO2_thicknesses!$1:$2,2),0)</f>
        <v>-1.56510357650737</v>
      </c>
      <c r="F361" s="56">
        <f t="shared" si="28"/>
        <v>-169</v>
      </c>
      <c r="G361" s="57" t="str">
        <f t="shared" si="29"/>
        <v/>
      </c>
      <c r="H361" s="58"/>
    </row>
    <row r="362" spans="1:8">
      <c r="A362" s="52">
        <f t="shared" si="26"/>
        <v>342000</v>
      </c>
      <c r="B362" s="53">
        <f t="shared" si="27"/>
        <v>150</v>
      </c>
      <c r="C362" s="54" t="str">
        <f t="shared" si="25"/>
        <v>CO2</v>
      </c>
      <c r="D362" s="55">
        <f>IFERROR( HLOOKUP(A362,H2O_thicknesses!$1:$2,2, 0),0)</f>
        <v>0</v>
      </c>
      <c r="E362" s="55">
        <f>IFERROR( HLOOKUP(A362,CO2_thicknesses!$1:$2,2),0)</f>
        <v>-1.56510357650737</v>
      </c>
      <c r="F362" s="56">
        <f t="shared" si="28"/>
        <v>-168</v>
      </c>
      <c r="G362" s="57" t="str">
        <f t="shared" si="29"/>
        <v/>
      </c>
      <c r="H362" s="58"/>
    </row>
    <row r="363" spans="1:8">
      <c r="A363" s="52">
        <f t="shared" si="26"/>
        <v>343000</v>
      </c>
      <c r="B363" s="53">
        <f t="shared" si="27"/>
        <v>150</v>
      </c>
      <c r="C363" s="54" t="str">
        <f t="shared" si="25"/>
        <v>CO2</v>
      </c>
      <c r="D363" s="55">
        <f>IFERROR( HLOOKUP(A363,H2O_thicknesses!$1:$2,2, 0),0)</f>
        <v>0</v>
      </c>
      <c r="E363" s="55">
        <f>IFERROR( HLOOKUP(A363,CO2_thicknesses!$1:$2,2),0)</f>
        <v>-1.56510357650737</v>
      </c>
      <c r="F363" s="56">
        <f t="shared" si="28"/>
        <v>-167</v>
      </c>
      <c r="G363" s="57" t="str">
        <f t="shared" si="29"/>
        <v/>
      </c>
      <c r="H363" s="58"/>
    </row>
    <row r="364" spans="1:8">
      <c r="A364" s="52">
        <f t="shared" si="26"/>
        <v>344000</v>
      </c>
      <c r="B364" s="53">
        <f t="shared" si="27"/>
        <v>150</v>
      </c>
      <c r="C364" s="54" t="str">
        <f t="shared" si="25"/>
        <v>CO2</v>
      </c>
      <c r="D364" s="55">
        <f>IFERROR( HLOOKUP(A364,H2O_thicknesses!$1:$2,2, 0),0)</f>
        <v>0</v>
      </c>
      <c r="E364" s="55">
        <f>IFERROR( HLOOKUP(A364,CO2_thicknesses!$1:$2,2),0)</f>
        <v>-1.56510357650737</v>
      </c>
      <c r="F364" s="56">
        <f t="shared" si="28"/>
        <v>-166</v>
      </c>
      <c r="G364" s="57" t="str">
        <f t="shared" si="29"/>
        <v/>
      </c>
      <c r="H364" s="58"/>
    </row>
    <row r="365" spans="1:8">
      <c r="A365" s="52">
        <f t="shared" si="26"/>
        <v>345000</v>
      </c>
      <c r="B365" s="53">
        <f t="shared" si="27"/>
        <v>150</v>
      </c>
      <c r="C365" s="54" t="str">
        <f t="shared" si="25"/>
        <v>CO2</v>
      </c>
      <c r="D365" s="55">
        <f>IFERROR( HLOOKUP(A365,H2O_thicknesses!$1:$2,2, 0),0)</f>
        <v>0</v>
      </c>
      <c r="E365" s="55">
        <f>IFERROR( HLOOKUP(A365,CO2_thicknesses!$1:$2,2),0)</f>
        <v>-1.56510357650737</v>
      </c>
      <c r="F365" s="56">
        <f t="shared" si="28"/>
        <v>-165</v>
      </c>
      <c r="G365" s="57" t="str">
        <f t="shared" si="29"/>
        <v/>
      </c>
      <c r="H365" s="58"/>
    </row>
    <row r="366" spans="1:8">
      <c r="A366" s="52">
        <f t="shared" si="26"/>
        <v>346000</v>
      </c>
      <c r="B366" s="53">
        <f t="shared" si="27"/>
        <v>150</v>
      </c>
      <c r="C366" s="54" t="str">
        <f t="shared" si="25"/>
        <v>CO2</v>
      </c>
      <c r="D366" s="55">
        <f>IFERROR( HLOOKUP(A366,H2O_thicknesses!$1:$2,2, 0),0)</f>
        <v>0</v>
      </c>
      <c r="E366" s="55">
        <f>IFERROR( HLOOKUP(A366,CO2_thicknesses!$1:$2,2),0)</f>
        <v>-1.56510357650737</v>
      </c>
      <c r="F366" s="56">
        <f t="shared" si="28"/>
        <v>-164</v>
      </c>
      <c r="G366" s="57" t="str">
        <f t="shared" si="29"/>
        <v/>
      </c>
      <c r="H366" s="58"/>
    </row>
    <row r="367" spans="1:8">
      <c r="A367" s="52">
        <f t="shared" si="26"/>
        <v>347000</v>
      </c>
      <c r="B367" s="53">
        <f t="shared" si="27"/>
        <v>150</v>
      </c>
      <c r="C367" s="54" t="str">
        <f t="shared" si="25"/>
        <v>CO2</v>
      </c>
      <c r="D367" s="55">
        <f>IFERROR( HLOOKUP(A367,H2O_thicknesses!$1:$2,2, 0),0)</f>
        <v>0</v>
      </c>
      <c r="E367" s="55">
        <f>IFERROR( HLOOKUP(A367,CO2_thicknesses!$1:$2,2),0)</f>
        <v>-1.56510357650737</v>
      </c>
      <c r="F367" s="56">
        <f t="shared" si="28"/>
        <v>-163</v>
      </c>
      <c r="G367" s="57" t="str">
        <f t="shared" si="29"/>
        <v/>
      </c>
      <c r="H367" s="58"/>
    </row>
    <row r="368" spans="1:8">
      <c r="A368" s="52">
        <f t="shared" si="26"/>
        <v>348000</v>
      </c>
      <c r="B368" s="53">
        <f t="shared" si="27"/>
        <v>150</v>
      </c>
      <c r="C368" s="54" t="str">
        <f t="shared" si="25"/>
        <v>CO2</v>
      </c>
      <c r="D368" s="55">
        <f>IFERROR( HLOOKUP(A368,H2O_thicknesses!$1:$2,2, 0),0)</f>
        <v>0</v>
      </c>
      <c r="E368" s="55">
        <f>IFERROR( HLOOKUP(A368,CO2_thicknesses!$1:$2,2),0)</f>
        <v>-1.56510357650737</v>
      </c>
      <c r="F368" s="56">
        <f t="shared" si="28"/>
        <v>-162</v>
      </c>
      <c r="G368" s="57" t="str">
        <f t="shared" si="29"/>
        <v/>
      </c>
      <c r="H368" s="58"/>
    </row>
    <row r="369" spans="1:8">
      <c r="A369" s="52">
        <f t="shared" si="26"/>
        <v>349000</v>
      </c>
      <c r="B369" s="53">
        <f t="shared" si="27"/>
        <v>150</v>
      </c>
      <c r="C369" s="54" t="str">
        <f t="shared" si="25"/>
        <v>CO2</v>
      </c>
      <c r="D369" s="55">
        <f>IFERROR( HLOOKUP(A369,H2O_thicknesses!$1:$2,2, 0),0)</f>
        <v>0</v>
      </c>
      <c r="E369" s="55">
        <f>IFERROR( HLOOKUP(A369,CO2_thicknesses!$1:$2,2),0)</f>
        <v>-1.56510357650737</v>
      </c>
      <c r="F369" s="56">
        <f t="shared" si="28"/>
        <v>-161</v>
      </c>
      <c r="G369" s="57" t="str">
        <f t="shared" si="29"/>
        <v/>
      </c>
      <c r="H369" s="58"/>
    </row>
    <row r="370" spans="1:8">
      <c r="A370" s="52">
        <f t="shared" si="26"/>
        <v>350000</v>
      </c>
      <c r="B370" s="53">
        <f t="shared" si="27"/>
        <v>150</v>
      </c>
      <c r="C370" s="54" t="str">
        <f t="shared" si="25"/>
        <v>CO2</v>
      </c>
      <c r="D370" s="55">
        <f>IFERROR( HLOOKUP(A370,H2O_thicknesses!$1:$2,2, 0),0)</f>
        <v>0</v>
      </c>
      <c r="E370" s="55">
        <f>IFERROR( HLOOKUP(A370,CO2_thicknesses!$1:$2,2),0)</f>
        <v>-1.56510357650737</v>
      </c>
      <c r="F370" s="56">
        <f t="shared" si="28"/>
        <v>-160</v>
      </c>
      <c r="G370" s="57" t="str">
        <f t="shared" si="29"/>
        <v/>
      </c>
      <c r="H370" s="58"/>
    </row>
    <row r="371" spans="1:8">
      <c r="A371" s="52">
        <f t="shared" si="26"/>
        <v>351000</v>
      </c>
      <c r="B371" s="53">
        <f t="shared" si="27"/>
        <v>150</v>
      </c>
      <c r="C371" s="54" t="str">
        <f t="shared" si="25"/>
        <v>CO2</v>
      </c>
      <c r="D371" s="55">
        <f>IFERROR( HLOOKUP(A371,H2O_thicknesses!$1:$2,2, 0),0)</f>
        <v>0</v>
      </c>
      <c r="E371" s="55">
        <f>IFERROR( HLOOKUP(A371,CO2_thicknesses!$1:$2,2),0)</f>
        <v>-1.56510357650737</v>
      </c>
      <c r="F371" s="56">
        <f t="shared" si="28"/>
        <v>-159</v>
      </c>
      <c r="G371" s="57" t="str">
        <f t="shared" si="29"/>
        <v/>
      </c>
      <c r="H371" s="58"/>
    </row>
    <row r="372" spans="1:8">
      <c r="A372" s="52">
        <f t="shared" si="26"/>
        <v>352000</v>
      </c>
      <c r="B372" s="53">
        <f t="shared" si="27"/>
        <v>150</v>
      </c>
      <c r="C372" s="54" t="str">
        <f t="shared" si="25"/>
        <v>CO2</v>
      </c>
      <c r="D372" s="55">
        <f>IFERROR( HLOOKUP(A372,H2O_thicknesses!$1:$2,2, 0),0)</f>
        <v>0</v>
      </c>
      <c r="E372" s="55">
        <f>IFERROR( HLOOKUP(A372,CO2_thicknesses!$1:$2,2),0)</f>
        <v>-1.56510357650737</v>
      </c>
      <c r="F372" s="56">
        <f t="shared" si="28"/>
        <v>-158</v>
      </c>
      <c r="G372" s="57" t="str">
        <f t="shared" si="29"/>
        <v/>
      </c>
      <c r="H372" s="59">
        <v>1.4925070647221501E-4</v>
      </c>
    </row>
    <row r="373" spans="1:8">
      <c r="A373" s="52">
        <f t="shared" si="26"/>
        <v>353000</v>
      </c>
      <c r="B373" s="53">
        <f t="shared" si="27"/>
        <v>150</v>
      </c>
      <c r="C373" s="54" t="str">
        <f t="shared" si="25"/>
        <v>CO2</v>
      </c>
      <c r="D373" s="55">
        <f>IFERROR( HLOOKUP(A373,H2O_thicknesses!$1:$2,2, 0),0)</f>
        <v>0</v>
      </c>
      <c r="E373" s="55">
        <f>IFERROR( HLOOKUP(A373,CO2_thicknesses!$1:$2,2),0)</f>
        <v>-1.56510357650737</v>
      </c>
      <c r="F373" s="56">
        <f t="shared" si="28"/>
        <v>-157</v>
      </c>
      <c r="G373" s="57" t="str">
        <f t="shared" si="29"/>
        <v/>
      </c>
      <c r="H373" s="58"/>
    </row>
    <row r="374" spans="1:8">
      <c r="A374" s="52">
        <f t="shared" si="26"/>
        <v>354000</v>
      </c>
      <c r="B374" s="53">
        <f t="shared" si="27"/>
        <v>150</v>
      </c>
      <c r="C374" s="54" t="str">
        <f t="shared" si="25"/>
        <v>CO2</v>
      </c>
      <c r="D374" s="55">
        <f>IFERROR( HLOOKUP(A374,H2O_thicknesses!$1:$2,2, 0),0)</f>
        <v>0</v>
      </c>
      <c r="E374" s="55">
        <f>IFERROR( HLOOKUP(A374,CO2_thicknesses!$1:$2,2),0)</f>
        <v>-1.56510357650737</v>
      </c>
      <c r="F374" s="56">
        <f t="shared" si="28"/>
        <v>-156</v>
      </c>
      <c r="G374" s="57" t="str">
        <f t="shared" si="29"/>
        <v/>
      </c>
      <c r="H374" s="58"/>
    </row>
    <row r="375" spans="1:8">
      <c r="A375" s="52">
        <f t="shared" si="26"/>
        <v>355000</v>
      </c>
      <c r="B375" s="53">
        <f t="shared" si="27"/>
        <v>150</v>
      </c>
      <c r="C375" s="54" t="str">
        <f t="shared" si="25"/>
        <v>CO2</v>
      </c>
      <c r="D375" s="55">
        <f>IFERROR( HLOOKUP(A375,H2O_thicknesses!$1:$2,2, 0),0)</f>
        <v>0</v>
      </c>
      <c r="E375" s="55">
        <f>IFERROR( HLOOKUP(A375,CO2_thicknesses!$1:$2,2),0)</f>
        <v>-1.56510357650737</v>
      </c>
      <c r="F375" s="56">
        <f t="shared" si="28"/>
        <v>-155</v>
      </c>
      <c r="G375" s="57" t="str">
        <f t="shared" si="29"/>
        <v/>
      </c>
      <c r="H375" s="58"/>
    </row>
    <row r="376" spans="1:8">
      <c r="A376" s="52">
        <f t="shared" si="26"/>
        <v>356000</v>
      </c>
      <c r="B376" s="53">
        <f t="shared" si="27"/>
        <v>150</v>
      </c>
      <c r="C376" s="54" t="str">
        <f t="shared" si="25"/>
        <v>CO2</v>
      </c>
      <c r="D376" s="55">
        <f>IFERROR( HLOOKUP(A376,H2O_thicknesses!$1:$2,2, 0),0)</f>
        <v>0</v>
      </c>
      <c r="E376" s="55">
        <f>IFERROR( HLOOKUP(A376,CO2_thicknesses!$1:$2,2),0)</f>
        <v>-1.56510357650737</v>
      </c>
      <c r="F376" s="56">
        <f t="shared" si="28"/>
        <v>-154</v>
      </c>
      <c r="G376" s="57" t="str">
        <f t="shared" si="29"/>
        <v/>
      </c>
      <c r="H376" s="58"/>
    </row>
    <row r="377" spans="1:8">
      <c r="A377" s="52">
        <f t="shared" si="26"/>
        <v>357000</v>
      </c>
      <c r="B377" s="53">
        <f t="shared" si="27"/>
        <v>150</v>
      </c>
      <c r="C377" s="54" t="str">
        <f t="shared" si="25"/>
        <v>CO2</v>
      </c>
      <c r="D377" s="55">
        <f>IFERROR( HLOOKUP(A377,H2O_thicknesses!$1:$2,2, 0),0)</f>
        <v>0</v>
      </c>
      <c r="E377" s="55">
        <f>IFERROR( HLOOKUP(A377,CO2_thicknesses!$1:$2,2),0)</f>
        <v>-1.56510357650737</v>
      </c>
      <c r="F377" s="56">
        <f t="shared" si="28"/>
        <v>-153</v>
      </c>
      <c r="G377" s="57" t="str">
        <f t="shared" si="29"/>
        <v/>
      </c>
      <c r="H377" s="58"/>
    </row>
    <row r="378" spans="1:8">
      <c r="A378" s="52">
        <f t="shared" si="26"/>
        <v>358000</v>
      </c>
      <c r="B378" s="53">
        <f t="shared" si="27"/>
        <v>150</v>
      </c>
      <c r="C378" s="54" t="str">
        <f t="shared" si="25"/>
        <v>CO2</v>
      </c>
      <c r="D378" s="55">
        <f>IFERROR( HLOOKUP(A378,H2O_thicknesses!$1:$2,2, 0),0)</f>
        <v>0</v>
      </c>
      <c r="E378" s="55">
        <f>IFERROR( HLOOKUP(A378,CO2_thicknesses!$1:$2,2),0)</f>
        <v>-1.56510357650737</v>
      </c>
      <c r="F378" s="56">
        <f t="shared" si="28"/>
        <v>-152</v>
      </c>
      <c r="G378" s="57" t="str">
        <f t="shared" si="29"/>
        <v/>
      </c>
      <c r="H378" s="58"/>
    </row>
    <row r="379" spans="1:8">
      <c r="A379" s="52">
        <f t="shared" si="26"/>
        <v>359000</v>
      </c>
      <c r="B379" s="53">
        <f t="shared" si="27"/>
        <v>150</v>
      </c>
      <c r="C379" s="54" t="str">
        <f t="shared" si="25"/>
        <v>CO2</v>
      </c>
      <c r="D379" s="55">
        <f>IFERROR( HLOOKUP(A379,H2O_thicknesses!$1:$2,2, 0),0)</f>
        <v>0</v>
      </c>
      <c r="E379" s="55">
        <f>IFERROR( HLOOKUP(A379,CO2_thicknesses!$1:$2,2),0)</f>
        <v>-1.56510357650737</v>
      </c>
      <c r="F379" s="56">
        <f t="shared" si="28"/>
        <v>-151</v>
      </c>
      <c r="G379" s="57" t="str">
        <f t="shared" si="29"/>
        <v/>
      </c>
      <c r="H379" s="58"/>
    </row>
    <row r="380" spans="1:8">
      <c r="A380" s="52">
        <f t="shared" si="26"/>
        <v>360000</v>
      </c>
      <c r="B380" s="53">
        <f t="shared" si="27"/>
        <v>150</v>
      </c>
      <c r="C380" s="54" t="str">
        <f t="shared" si="25"/>
        <v>CO2</v>
      </c>
      <c r="D380" s="55">
        <f>IFERROR( HLOOKUP(A380,H2O_thicknesses!$1:$2,2, 0),0)</f>
        <v>0</v>
      </c>
      <c r="E380" s="55">
        <f>IFERROR( HLOOKUP(A380,CO2_thicknesses!$1:$2,2),0)</f>
        <v>-1.56510357650737</v>
      </c>
      <c r="F380" s="56">
        <f t="shared" si="28"/>
        <v>-150</v>
      </c>
      <c r="G380" s="57" t="str">
        <f t="shared" si="29"/>
        <v/>
      </c>
      <c r="H380" s="58"/>
    </row>
    <row r="381" spans="1:8">
      <c r="A381" s="52">
        <f t="shared" si="26"/>
        <v>361000</v>
      </c>
      <c r="B381" s="53">
        <f t="shared" si="27"/>
        <v>150</v>
      </c>
      <c r="C381" s="54" t="str">
        <f t="shared" si="25"/>
        <v>CO2</v>
      </c>
      <c r="D381" s="55">
        <f>IFERROR( HLOOKUP(A381,H2O_thicknesses!$1:$2,2, 0),0)</f>
        <v>0</v>
      </c>
      <c r="E381" s="55">
        <f>IFERROR( HLOOKUP(A381,CO2_thicknesses!$1:$2,2),0)</f>
        <v>-1.56510357650737</v>
      </c>
      <c r="F381" s="56">
        <f t="shared" si="28"/>
        <v>-149</v>
      </c>
      <c r="G381" s="57" t="str">
        <f t="shared" si="29"/>
        <v/>
      </c>
      <c r="H381" s="58"/>
    </row>
    <row r="382" spans="1:8">
      <c r="A382" s="52">
        <f t="shared" si="26"/>
        <v>362000</v>
      </c>
      <c r="B382" s="53">
        <f t="shared" si="27"/>
        <v>150</v>
      </c>
      <c r="C382" s="54" t="str">
        <f t="shared" si="25"/>
        <v>CO2</v>
      </c>
      <c r="D382" s="55">
        <f>IFERROR( HLOOKUP(A382,H2O_thicknesses!$1:$2,2, 0),0)</f>
        <v>0</v>
      </c>
      <c r="E382" s="55">
        <f>IFERROR( HLOOKUP(A382,CO2_thicknesses!$1:$2,2),0)</f>
        <v>-1.56510357650737</v>
      </c>
      <c r="F382" s="56">
        <f t="shared" si="28"/>
        <v>-148</v>
      </c>
      <c r="G382" s="57" t="str">
        <f t="shared" si="29"/>
        <v/>
      </c>
      <c r="H382" s="58"/>
    </row>
    <row r="383" spans="1:8">
      <c r="A383" s="52">
        <f t="shared" si="26"/>
        <v>363000</v>
      </c>
      <c r="B383" s="53">
        <f t="shared" si="27"/>
        <v>150</v>
      </c>
      <c r="C383" s="54" t="str">
        <f t="shared" si="25"/>
        <v>CO2</v>
      </c>
      <c r="D383" s="55">
        <f>IFERROR( HLOOKUP(A383,H2O_thicknesses!$1:$2,2, 0),0)</f>
        <v>0</v>
      </c>
      <c r="E383" s="55">
        <f>IFERROR( HLOOKUP(A383,CO2_thicknesses!$1:$2,2),0)</f>
        <v>-1.56510357650737</v>
      </c>
      <c r="F383" s="56">
        <f t="shared" si="28"/>
        <v>-147</v>
      </c>
      <c r="G383" s="57" t="str">
        <f t="shared" si="29"/>
        <v/>
      </c>
      <c r="H383" s="58"/>
    </row>
    <row r="384" spans="1:8">
      <c r="A384" s="52">
        <f t="shared" si="26"/>
        <v>364000</v>
      </c>
      <c r="B384" s="53">
        <f t="shared" si="27"/>
        <v>150</v>
      </c>
      <c r="C384" s="54" t="str">
        <f t="shared" si="25"/>
        <v>CO2</v>
      </c>
      <c r="D384" s="55">
        <f>IFERROR( HLOOKUP(A384,H2O_thicknesses!$1:$2,2, 0),0)</f>
        <v>0</v>
      </c>
      <c r="E384" s="55">
        <f>IFERROR( HLOOKUP(A384,CO2_thicknesses!$1:$2,2),0)</f>
        <v>-1.56510357650737</v>
      </c>
      <c r="F384" s="56">
        <f t="shared" si="28"/>
        <v>-146</v>
      </c>
      <c r="G384" s="57" t="str">
        <f t="shared" si="29"/>
        <v/>
      </c>
      <c r="H384" s="58"/>
    </row>
    <row r="385" spans="1:8">
      <c r="A385" s="52">
        <f t="shared" si="26"/>
        <v>365000</v>
      </c>
      <c r="B385" s="53">
        <f t="shared" si="27"/>
        <v>150</v>
      </c>
      <c r="C385" s="54" t="str">
        <f t="shared" si="25"/>
        <v>CO2</v>
      </c>
      <c r="D385" s="55">
        <f>IFERROR( HLOOKUP(A385,H2O_thicknesses!$1:$2,2, 0),0)</f>
        <v>0</v>
      </c>
      <c r="E385" s="55">
        <f>IFERROR( HLOOKUP(A385,CO2_thicknesses!$1:$2,2),0)</f>
        <v>-1.56510357650737</v>
      </c>
      <c r="F385" s="56">
        <f t="shared" si="28"/>
        <v>-145</v>
      </c>
      <c r="G385" s="57" t="str">
        <f t="shared" si="29"/>
        <v/>
      </c>
      <c r="H385" s="58"/>
    </row>
    <row r="386" spans="1:8">
      <c r="A386" s="52">
        <f t="shared" si="26"/>
        <v>366000</v>
      </c>
      <c r="B386" s="53">
        <f t="shared" si="27"/>
        <v>150</v>
      </c>
      <c r="C386" s="54" t="str">
        <f t="shared" si="25"/>
        <v>CO2</v>
      </c>
      <c r="D386" s="55">
        <f>IFERROR( HLOOKUP(A386,H2O_thicknesses!$1:$2,2, 0),0)</f>
        <v>0</v>
      </c>
      <c r="E386" s="55">
        <f>IFERROR( HLOOKUP(A386,CO2_thicknesses!$1:$2,2),0)</f>
        <v>-1.56510357650737</v>
      </c>
      <c r="F386" s="56">
        <f t="shared" si="28"/>
        <v>-144</v>
      </c>
      <c r="G386" s="57" t="str">
        <f t="shared" si="29"/>
        <v/>
      </c>
      <c r="H386" s="58"/>
    </row>
    <row r="387" spans="1:8">
      <c r="A387" s="52">
        <f t="shared" si="26"/>
        <v>367000</v>
      </c>
      <c r="B387" s="53">
        <f t="shared" si="27"/>
        <v>150</v>
      </c>
      <c r="C387" s="54" t="str">
        <f t="shared" si="25"/>
        <v>CO2</v>
      </c>
      <c r="D387" s="55">
        <f>IFERROR( HLOOKUP(A387,H2O_thicknesses!$1:$2,2, 0),0)</f>
        <v>0</v>
      </c>
      <c r="E387" s="55">
        <f>IFERROR( HLOOKUP(A387,CO2_thicknesses!$1:$2,2),0)</f>
        <v>-1.56510357650737</v>
      </c>
      <c r="F387" s="56">
        <f t="shared" si="28"/>
        <v>-143</v>
      </c>
      <c r="G387" s="57" t="str">
        <f t="shared" si="29"/>
        <v/>
      </c>
      <c r="H387" s="58"/>
    </row>
    <row r="388" spans="1:8">
      <c r="A388" s="52">
        <f t="shared" si="26"/>
        <v>368000</v>
      </c>
      <c r="B388" s="53">
        <f t="shared" si="27"/>
        <v>150</v>
      </c>
      <c r="C388" s="54" t="str">
        <f t="shared" si="25"/>
        <v>CO2</v>
      </c>
      <c r="D388" s="55">
        <f>IFERROR( HLOOKUP(A388,H2O_thicknesses!$1:$2,2, 0),0)</f>
        <v>0</v>
      </c>
      <c r="E388" s="55">
        <f>IFERROR( HLOOKUP(A388,CO2_thicknesses!$1:$2,2),0)</f>
        <v>-1.56510357650737</v>
      </c>
      <c r="F388" s="56">
        <f t="shared" si="28"/>
        <v>-142</v>
      </c>
      <c r="G388" s="57" t="str">
        <f t="shared" si="29"/>
        <v/>
      </c>
      <c r="H388" s="58"/>
    </row>
    <row r="389" spans="1:8">
      <c r="A389" s="52">
        <f t="shared" si="26"/>
        <v>369000</v>
      </c>
      <c r="B389" s="53">
        <f t="shared" si="27"/>
        <v>150</v>
      </c>
      <c r="C389" s="54" t="str">
        <f t="shared" si="25"/>
        <v>CO2</v>
      </c>
      <c r="D389" s="55">
        <f>IFERROR( HLOOKUP(A389,H2O_thicknesses!$1:$2,2, 0),0)</f>
        <v>0</v>
      </c>
      <c r="E389" s="55">
        <f>IFERROR( HLOOKUP(A389,CO2_thicknesses!$1:$2,2),0)</f>
        <v>-1.56510357650737</v>
      </c>
      <c r="F389" s="56">
        <f t="shared" si="28"/>
        <v>-141</v>
      </c>
      <c r="G389" s="57" t="str">
        <f t="shared" si="29"/>
        <v/>
      </c>
      <c r="H389" s="58"/>
    </row>
    <row r="390" spans="1:8">
      <c r="A390" s="52">
        <f t="shared" si="26"/>
        <v>370000</v>
      </c>
      <c r="B390" s="53">
        <f t="shared" si="27"/>
        <v>150</v>
      </c>
      <c r="C390" s="54" t="str">
        <f t="shared" si="25"/>
        <v>CO2</v>
      </c>
      <c r="D390" s="55">
        <f>IFERROR( HLOOKUP(A390,H2O_thicknesses!$1:$2,2, 0),0)</f>
        <v>0</v>
      </c>
      <c r="E390" s="55">
        <f>IFERROR( HLOOKUP(A390,CO2_thicknesses!$1:$2,2),0)</f>
        <v>-1.56510357650737</v>
      </c>
      <c r="F390" s="56">
        <f t="shared" si="28"/>
        <v>-140</v>
      </c>
      <c r="G390" s="57" t="str">
        <f t="shared" si="29"/>
        <v/>
      </c>
      <c r="H390" s="58"/>
    </row>
    <row r="391" spans="1:8">
      <c r="A391" s="52">
        <f t="shared" si="26"/>
        <v>371000</v>
      </c>
      <c r="B391" s="53">
        <f t="shared" si="27"/>
        <v>150</v>
      </c>
      <c r="C391" s="54" t="str">
        <f t="shared" si="25"/>
        <v>CO2</v>
      </c>
      <c r="D391" s="55">
        <f>IFERROR( HLOOKUP(A391,H2O_thicknesses!$1:$2,2, 0),0)</f>
        <v>0</v>
      </c>
      <c r="E391" s="55">
        <f>IFERROR( HLOOKUP(A391,CO2_thicknesses!$1:$2,2),0)</f>
        <v>-1.56510357650737</v>
      </c>
      <c r="F391" s="56">
        <f t="shared" si="28"/>
        <v>-139</v>
      </c>
      <c r="G391" s="57" t="str">
        <f t="shared" si="29"/>
        <v/>
      </c>
      <c r="H391" s="58"/>
    </row>
    <row r="392" spans="1:8">
      <c r="A392" s="52">
        <f t="shared" si="26"/>
        <v>372000</v>
      </c>
      <c r="B392" s="53">
        <f t="shared" si="27"/>
        <v>150</v>
      </c>
      <c r="C392" s="54" t="str">
        <f t="shared" si="25"/>
        <v>CO2</v>
      </c>
      <c r="D392" s="55">
        <f>IFERROR( HLOOKUP(A392,H2O_thicknesses!$1:$2,2, 0),0)</f>
        <v>0</v>
      </c>
      <c r="E392" s="55">
        <f>IFERROR( HLOOKUP(A392,CO2_thicknesses!$1:$2,2),0)</f>
        <v>-1.56510357650737</v>
      </c>
      <c r="F392" s="56">
        <f t="shared" si="28"/>
        <v>-138</v>
      </c>
      <c r="G392" s="57" t="str">
        <f t="shared" si="29"/>
        <v/>
      </c>
      <c r="H392" s="58"/>
    </row>
    <row r="393" spans="1:8">
      <c r="A393" s="52">
        <f t="shared" si="26"/>
        <v>373000</v>
      </c>
      <c r="B393" s="53">
        <f t="shared" si="27"/>
        <v>150</v>
      </c>
      <c r="C393" s="54" t="str">
        <f t="shared" si="25"/>
        <v>CO2</v>
      </c>
      <c r="D393" s="55">
        <f>IFERROR( HLOOKUP(A393,H2O_thicknesses!$1:$2,2, 0),0)</f>
        <v>0</v>
      </c>
      <c r="E393" s="55">
        <f>IFERROR( HLOOKUP(A393,CO2_thicknesses!$1:$2,2),0)</f>
        <v>-1.56510357650737</v>
      </c>
      <c r="F393" s="56">
        <f t="shared" si="28"/>
        <v>-137</v>
      </c>
      <c r="G393" s="57" t="str">
        <f t="shared" si="29"/>
        <v/>
      </c>
      <c r="H393" s="58"/>
    </row>
    <row r="394" spans="1:8">
      <c r="A394" s="52">
        <f t="shared" si="26"/>
        <v>374000</v>
      </c>
      <c r="B394" s="53">
        <f t="shared" si="27"/>
        <v>150</v>
      </c>
      <c r="C394" s="54" t="str">
        <f t="shared" si="25"/>
        <v>CO2</v>
      </c>
      <c r="D394" s="55">
        <f>IFERROR( HLOOKUP(A394,H2O_thicknesses!$1:$2,2, 0),0)</f>
        <v>0</v>
      </c>
      <c r="E394" s="55">
        <f>IFERROR( HLOOKUP(A394,CO2_thicknesses!$1:$2,2),0)</f>
        <v>-1.56510357650737</v>
      </c>
      <c r="F394" s="56">
        <f t="shared" si="28"/>
        <v>-136</v>
      </c>
      <c r="G394" s="57" t="str">
        <f t="shared" si="29"/>
        <v/>
      </c>
      <c r="H394" s="58"/>
    </row>
    <row r="395" spans="1:8">
      <c r="A395" s="52">
        <f t="shared" si="26"/>
        <v>375000</v>
      </c>
      <c r="B395" s="53">
        <f t="shared" si="27"/>
        <v>150</v>
      </c>
      <c r="C395" s="54" t="str">
        <f t="shared" si="25"/>
        <v>CO2</v>
      </c>
      <c r="D395" s="55">
        <f>IFERROR( HLOOKUP(A395,H2O_thicknesses!$1:$2,2, 0),0)</f>
        <v>0</v>
      </c>
      <c r="E395" s="55">
        <f>IFERROR( HLOOKUP(A395,CO2_thicknesses!$1:$2,2),0)</f>
        <v>-1.56510357650737</v>
      </c>
      <c r="F395" s="56">
        <f t="shared" si="28"/>
        <v>-135</v>
      </c>
      <c r="G395" s="57" t="str">
        <f t="shared" si="29"/>
        <v/>
      </c>
      <c r="H395" s="58"/>
    </row>
    <row r="396" spans="1:8">
      <c r="A396" s="52">
        <f t="shared" si="26"/>
        <v>376000</v>
      </c>
      <c r="B396" s="53">
        <f t="shared" si="27"/>
        <v>150</v>
      </c>
      <c r="C396" s="54" t="str">
        <f t="shared" si="25"/>
        <v>CO2</v>
      </c>
      <c r="D396" s="55">
        <f>IFERROR( HLOOKUP(A396,H2O_thicknesses!$1:$2,2, 0),0)</f>
        <v>0</v>
      </c>
      <c r="E396" s="55">
        <f>IFERROR( HLOOKUP(A396,CO2_thicknesses!$1:$2,2),0)</f>
        <v>-1.56510357650737</v>
      </c>
      <c r="F396" s="56">
        <f t="shared" si="28"/>
        <v>-134</v>
      </c>
      <c r="G396" s="57" t="str">
        <f t="shared" si="29"/>
        <v/>
      </c>
      <c r="H396" s="58"/>
    </row>
    <row r="397" spans="1:8">
      <c r="A397" s="52">
        <f t="shared" si="26"/>
        <v>377000</v>
      </c>
      <c r="B397" s="53">
        <f t="shared" si="27"/>
        <v>150</v>
      </c>
      <c r="C397" s="54" t="str">
        <f t="shared" si="25"/>
        <v>CO2</v>
      </c>
      <c r="D397" s="55">
        <f>IFERROR( HLOOKUP(A397,H2O_thicknesses!$1:$2,2, 0),0)</f>
        <v>0</v>
      </c>
      <c r="E397" s="55">
        <f>IFERROR( HLOOKUP(A397,CO2_thicknesses!$1:$2,2),0)</f>
        <v>-1.56510357650737</v>
      </c>
      <c r="F397" s="56">
        <f t="shared" si="28"/>
        <v>-133</v>
      </c>
      <c r="G397" s="57" t="str">
        <f t="shared" si="29"/>
        <v/>
      </c>
      <c r="H397" s="58"/>
    </row>
    <row r="398" spans="1:8">
      <c r="A398" s="52">
        <f t="shared" si="26"/>
        <v>378000</v>
      </c>
      <c r="B398" s="53">
        <f t="shared" si="27"/>
        <v>150</v>
      </c>
      <c r="C398" s="54" t="str">
        <f t="shared" si="25"/>
        <v>CO2</v>
      </c>
      <c r="D398" s="55">
        <f>IFERROR( HLOOKUP(A398,H2O_thicknesses!$1:$2,2, 0),0)</f>
        <v>0</v>
      </c>
      <c r="E398" s="55">
        <f>IFERROR( HLOOKUP(A398,CO2_thicknesses!$1:$2,2),0)</f>
        <v>-1.56510357650737</v>
      </c>
      <c r="F398" s="56">
        <f t="shared" si="28"/>
        <v>-132</v>
      </c>
      <c r="G398" s="57" t="str">
        <f t="shared" si="29"/>
        <v/>
      </c>
      <c r="H398" s="58"/>
    </row>
    <row r="399" spans="1:8">
      <c r="A399" s="52">
        <f t="shared" si="26"/>
        <v>379000</v>
      </c>
      <c r="B399" s="53">
        <f t="shared" si="27"/>
        <v>150</v>
      </c>
      <c r="C399" s="54" t="str">
        <f t="shared" si="25"/>
        <v>CO2</v>
      </c>
      <c r="D399" s="55">
        <f>IFERROR( HLOOKUP(A399,H2O_thicknesses!$1:$2,2, 0),0)</f>
        <v>0</v>
      </c>
      <c r="E399" s="55">
        <f>IFERROR( HLOOKUP(A399,CO2_thicknesses!$1:$2,2),0)</f>
        <v>-1.56510357650737</v>
      </c>
      <c r="F399" s="56">
        <f t="shared" si="28"/>
        <v>-131</v>
      </c>
      <c r="G399" s="57" t="str">
        <f t="shared" si="29"/>
        <v/>
      </c>
      <c r="H399" s="58"/>
    </row>
    <row r="400" spans="1:8">
      <c r="A400" s="52">
        <f t="shared" si="26"/>
        <v>380000</v>
      </c>
      <c r="B400" s="53">
        <f t="shared" si="27"/>
        <v>150</v>
      </c>
      <c r="C400" s="54" t="str">
        <f t="shared" si="25"/>
        <v>CO2</v>
      </c>
      <c r="D400" s="55">
        <f>IFERROR( HLOOKUP(A400,H2O_thicknesses!$1:$2,2, 0),0)</f>
        <v>0</v>
      </c>
      <c r="E400" s="55">
        <f>IFERROR( HLOOKUP(A400,CO2_thicknesses!$1:$2,2),0)</f>
        <v>-1.56510357650737</v>
      </c>
      <c r="F400" s="56">
        <f t="shared" si="28"/>
        <v>-130</v>
      </c>
      <c r="G400" s="57" t="str">
        <f t="shared" si="29"/>
        <v/>
      </c>
      <c r="H400" s="58"/>
    </row>
    <row r="401" spans="1:8">
      <c r="A401" s="52">
        <f t="shared" si="26"/>
        <v>381000</v>
      </c>
      <c r="B401" s="53">
        <f t="shared" si="27"/>
        <v>150</v>
      </c>
      <c r="C401" s="54" t="str">
        <f t="shared" si="25"/>
        <v>CO2</v>
      </c>
      <c r="D401" s="55">
        <f>IFERROR( HLOOKUP(A401,H2O_thicknesses!$1:$2,2, 0),0)</f>
        <v>0</v>
      </c>
      <c r="E401" s="55">
        <f>IFERROR( HLOOKUP(A401,CO2_thicknesses!$1:$2,2),0)</f>
        <v>-1.56510357650737</v>
      </c>
      <c r="F401" s="56">
        <f t="shared" si="28"/>
        <v>-129</v>
      </c>
      <c r="G401" s="57" t="str">
        <f t="shared" si="29"/>
        <v/>
      </c>
      <c r="H401" s="58"/>
    </row>
    <row r="402" spans="1:8">
      <c r="A402" s="52">
        <f t="shared" si="26"/>
        <v>382000</v>
      </c>
      <c r="B402" s="53">
        <f t="shared" si="27"/>
        <v>150</v>
      </c>
      <c r="C402" s="54" t="str">
        <f t="shared" si="25"/>
        <v>CO2</v>
      </c>
      <c r="D402" s="55">
        <f>IFERROR( HLOOKUP(A402,H2O_thicknesses!$1:$2,2, 0),0)</f>
        <v>0</v>
      </c>
      <c r="E402" s="55">
        <f>IFERROR( HLOOKUP(A402,CO2_thicknesses!$1:$2,2),0)</f>
        <v>-1.56510357650737</v>
      </c>
      <c r="F402" s="56">
        <f t="shared" si="28"/>
        <v>-128</v>
      </c>
      <c r="G402" s="57" t="str">
        <f t="shared" si="29"/>
        <v/>
      </c>
      <c r="H402" s="58"/>
    </row>
    <row r="403" spans="1:8">
      <c r="A403" s="52">
        <f t="shared" si="26"/>
        <v>383000</v>
      </c>
      <c r="B403" s="53">
        <f t="shared" si="27"/>
        <v>150</v>
      </c>
      <c r="C403" s="54" t="str">
        <f t="shared" si="25"/>
        <v>CO2</v>
      </c>
      <c r="D403" s="55">
        <f>IFERROR( HLOOKUP(A403,H2O_thicknesses!$1:$2,2, 0),0)</f>
        <v>0</v>
      </c>
      <c r="E403" s="55">
        <f>IFERROR( HLOOKUP(A403,CO2_thicknesses!$1:$2,2),0)</f>
        <v>-1.56510357650737</v>
      </c>
      <c r="F403" s="56">
        <f t="shared" si="28"/>
        <v>-127</v>
      </c>
      <c r="G403" s="57" t="str">
        <f t="shared" si="29"/>
        <v/>
      </c>
      <c r="H403" s="58"/>
    </row>
    <row r="404" spans="1:8">
      <c r="A404" s="52">
        <f t="shared" si="26"/>
        <v>384000</v>
      </c>
      <c r="B404" s="53">
        <f t="shared" si="27"/>
        <v>150</v>
      </c>
      <c r="C404" s="54" t="str">
        <f t="shared" ref="C404:C467" si="30">IF(D404=0, "CO2", "H2O")</f>
        <v>CO2</v>
      </c>
      <c r="D404" s="55">
        <f>IFERROR( HLOOKUP(A404,H2O_thicknesses!$1:$2,2, 0),0)</f>
        <v>0</v>
      </c>
      <c r="E404" s="55">
        <f>IFERROR( HLOOKUP(A404,CO2_thicknesses!$1:$2,2),0)</f>
        <v>-1.56510357650737</v>
      </c>
      <c r="F404" s="56">
        <f t="shared" si="28"/>
        <v>-126</v>
      </c>
      <c r="G404" s="57" t="str">
        <f t="shared" si="29"/>
        <v/>
      </c>
      <c r="H404" s="58"/>
    </row>
    <row r="405" spans="1:8">
      <c r="A405" s="52">
        <f t="shared" ref="A405:A468" si="31">A404+1000</f>
        <v>385000</v>
      </c>
      <c r="B405" s="53">
        <f t="shared" ref="B405:B468" si="32">B404</f>
        <v>150</v>
      </c>
      <c r="C405" s="54" t="str">
        <f t="shared" si="30"/>
        <v>H2O</v>
      </c>
      <c r="D405" s="55">
        <f>IFERROR( HLOOKUP(A405,H2O_thicknesses!$1:$2,2, 0),0)</f>
        <v>0.15189741203920001</v>
      </c>
      <c r="E405" s="55">
        <f>IFERROR( HLOOKUP(A405,CO2_thicknesses!$1:$2,2),0)</f>
        <v>-1.56510357650737</v>
      </c>
      <c r="F405" s="56">
        <f t="shared" ref="F405:F468" si="33">F404+1</f>
        <v>-125</v>
      </c>
      <c r="G405" s="57" t="str">
        <f t="shared" ref="G405:G468" si="34">IF(C404&lt;&gt;C405,C405,"")</f>
        <v>H2O</v>
      </c>
      <c r="H405" s="58"/>
    </row>
    <row r="406" spans="1:8">
      <c r="A406" s="52">
        <f t="shared" si="31"/>
        <v>386000</v>
      </c>
      <c r="B406" s="53">
        <f t="shared" si="32"/>
        <v>150</v>
      </c>
      <c r="C406" s="54" t="str">
        <f t="shared" si="30"/>
        <v>H2O</v>
      </c>
      <c r="D406" s="55">
        <f>IFERROR( HLOOKUP(A406,H2O_thicknesses!$1:$2,2, 0),0)</f>
        <v>0.157894136301716</v>
      </c>
      <c r="E406" s="55">
        <f>IFERROR( HLOOKUP(A406,CO2_thicknesses!$1:$2,2),0)</f>
        <v>-1.56510357650737</v>
      </c>
      <c r="F406" s="56">
        <f t="shared" si="33"/>
        <v>-124</v>
      </c>
      <c r="G406" s="57" t="str">
        <f t="shared" si="34"/>
        <v/>
      </c>
      <c r="H406" s="58"/>
    </row>
    <row r="407" spans="1:8">
      <c r="A407" s="52">
        <f t="shared" si="31"/>
        <v>387000</v>
      </c>
      <c r="B407" s="53">
        <f t="shared" si="32"/>
        <v>150</v>
      </c>
      <c r="C407" s="54" t="str">
        <f t="shared" si="30"/>
        <v>H2O</v>
      </c>
      <c r="D407" s="55">
        <f>IFERROR( HLOOKUP(A407,H2O_thicknesses!$1:$2,2, 0),0)</f>
        <v>0.16247182160600501</v>
      </c>
      <c r="E407" s="55">
        <f>IFERROR( HLOOKUP(A407,CO2_thicknesses!$1:$2,2),0)</f>
        <v>-1.56510357650737</v>
      </c>
      <c r="F407" s="56">
        <f t="shared" si="33"/>
        <v>-123</v>
      </c>
      <c r="G407" s="57" t="str">
        <f t="shared" si="34"/>
        <v/>
      </c>
      <c r="H407" s="58"/>
    </row>
    <row r="408" spans="1:8">
      <c r="A408" s="52">
        <f t="shared" si="31"/>
        <v>388000</v>
      </c>
      <c r="B408" s="53">
        <f t="shared" si="32"/>
        <v>150</v>
      </c>
      <c r="C408" s="54" t="str">
        <f t="shared" si="30"/>
        <v>H2O</v>
      </c>
      <c r="D408" s="55">
        <f>IFERROR( HLOOKUP(A408,H2O_thicknesses!$1:$2,2, 0),0)</f>
        <v>0.16758654355934599</v>
      </c>
      <c r="E408" s="55">
        <f>IFERROR( HLOOKUP(A408,CO2_thicknesses!$1:$2,2),0)</f>
        <v>-1.56510357650737</v>
      </c>
      <c r="F408" s="56">
        <f t="shared" si="33"/>
        <v>-122</v>
      </c>
      <c r="G408" s="57" t="str">
        <f t="shared" si="34"/>
        <v/>
      </c>
      <c r="H408" s="58"/>
    </row>
    <row r="409" spans="1:8">
      <c r="A409" s="52">
        <f t="shared" si="31"/>
        <v>389000</v>
      </c>
      <c r="B409" s="53">
        <f t="shared" si="32"/>
        <v>150</v>
      </c>
      <c r="C409" s="54" t="str">
        <f t="shared" si="30"/>
        <v>H2O</v>
      </c>
      <c r="D409" s="55">
        <f>IFERROR( HLOOKUP(A409,H2O_thicknesses!$1:$2,2, 0),0)</f>
        <v>0.16852361636140301</v>
      </c>
      <c r="E409" s="55">
        <f>IFERROR( HLOOKUP(A409,CO2_thicknesses!$1:$2,2),0)</f>
        <v>-1.56510357650737</v>
      </c>
      <c r="F409" s="56">
        <f t="shared" si="33"/>
        <v>-121</v>
      </c>
      <c r="G409" s="57" t="str">
        <f t="shared" si="34"/>
        <v/>
      </c>
      <c r="H409" s="58"/>
    </row>
    <row r="410" spans="1:8">
      <c r="A410" s="52">
        <f t="shared" si="31"/>
        <v>390000</v>
      </c>
      <c r="B410" s="53">
        <f t="shared" si="32"/>
        <v>150</v>
      </c>
      <c r="C410" s="54" t="str">
        <f t="shared" si="30"/>
        <v>H2O</v>
      </c>
      <c r="D410" s="55">
        <f>IFERROR( HLOOKUP(A410,H2O_thicknesses!$1:$2,2, 0),0)</f>
        <v>0.164523258995741</v>
      </c>
      <c r="E410" s="55">
        <f>IFERROR( HLOOKUP(A410,CO2_thicknesses!$1:$2,2),0)</f>
        <v>-1.56510357650737</v>
      </c>
      <c r="F410" s="56">
        <f t="shared" si="33"/>
        <v>-120</v>
      </c>
      <c r="G410" s="57" t="str">
        <f t="shared" si="34"/>
        <v/>
      </c>
      <c r="H410" s="58"/>
    </row>
    <row r="411" spans="1:8">
      <c r="A411" s="52">
        <f t="shared" si="31"/>
        <v>391000</v>
      </c>
      <c r="B411" s="53">
        <f t="shared" si="32"/>
        <v>150</v>
      </c>
      <c r="C411" s="54" t="str">
        <f t="shared" si="30"/>
        <v>H2O</v>
      </c>
      <c r="D411" s="55">
        <f>IFERROR( HLOOKUP(A411,H2O_thicknesses!$1:$2,2, 0),0)</f>
        <v>0.169714751239673</v>
      </c>
      <c r="E411" s="55">
        <f>IFERROR( HLOOKUP(A411,CO2_thicknesses!$1:$2,2),0)</f>
        <v>-1.56510357650737</v>
      </c>
      <c r="F411" s="56">
        <f t="shared" si="33"/>
        <v>-119</v>
      </c>
      <c r="G411" s="57" t="str">
        <f t="shared" si="34"/>
        <v/>
      </c>
      <c r="H411" s="58"/>
    </row>
    <row r="412" spans="1:8">
      <c r="A412" s="52">
        <f t="shared" si="31"/>
        <v>392000</v>
      </c>
      <c r="B412" s="53">
        <f t="shared" si="32"/>
        <v>150</v>
      </c>
      <c r="C412" s="54" t="str">
        <f t="shared" si="30"/>
        <v>H2O</v>
      </c>
      <c r="D412" s="55">
        <f>IFERROR( HLOOKUP(A412,H2O_thicknesses!$1:$2,2, 0),0)</f>
        <v>0.17400560892227299</v>
      </c>
      <c r="E412" s="55">
        <f>IFERROR( HLOOKUP(A412,CO2_thicknesses!$1:$2,2),0)</f>
        <v>-1.56510357650737</v>
      </c>
      <c r="F412" s="56">
        <f t="shared" si="33"/>
        <v>-118</v>
      </c>
      <c r="G412" s="57" t="str">
        <f t="shared" si="34"/>
        <v/>
      </c>
      <c r="H412" s="58"/>
    </row>
    <row r="413" spans="1:8">
      <c r="A413" s="52">
        <f t="shared" si="31"/>
        <v>393000</v>
      </c>
      <c r="B413" s="53">
        <f t="shared" si="32"/>
        <v>150</v>
      </c>
      <c r="C413" s="54" t="str">
        <f t="shared" si="30"/>
        <v>H2O</v>
      </c>
      <c r="D413" s="55">
        <f>IFERROR( HLOOKUP(A413,H2O_thicknesses!$1:$2,2, 0),0)</f>
        <v>0.175405640922146</v>
      </c>
      <c r="E413" s="55">
        <f>IFERROR( HLOOKUP(A413,CO2_thicknesses!$1:$2,2),0)</f>
        <v>-1.56510357650737</v>
      </c>
      <c r="F413" s="56">
        <f t="shared" si="33"/>
        <v>-117</v>
      </c>
      <c r="G413" s="57" t="str">
        <f t="shared" si="34"/>
        <v/>
      </c>
      <c r="H413" s="58"/>
    </row>
    <row r="414" spans="1:8">
      <c r="A414" s="52">
        <f t="shared" si="31"/>
        <v>394000</v>
      </c>
      <c r="B414" s="53">
        <f t="shared" si="32"/>
        <v>150</v>
      </c>
      <c r="C414" s="54" t="str">
        <f t="shared" si="30"/>
        <v>H2O</v>
      </c>
      <c r="D414" s="55">
        <f>IFERROR( HLOOKUP(A414,H2O_thicknesses!$1:$2,2, 0),0)</f>
        <v>0.170835326673315</v>
      </c>
      <c r="E414" s="55">
        <f>IFERROR( HLOOKUP(A414,CO2_thicknesses!$1:$2,2),0)</f>
        <v>-1.56510357650737</v>
      </c>
      <c r="F414" s="56">
        <f t="shared" si="33"/>
        <v>-116</v>
      </c>
      <c r="G414" s="57" t="str">
        <f t="shared" si="34"/>
        <v/>
      </c>
      <c r="H414" s="58"/>
    </row>
    <row r="415" spans="1:8">
      <c r="A415" s="52">
        <f t="shared" si="31"/>
        <v>395000</v>
      </c>
      <c r="B415" s="53">
        <f t="shared" si="32"/>
        <v>150</v>
      </c>
      <c r="C415" s="54" t="str">
        <f t="shared" si="30"/>
        <v>H2O</v>
      </c>
      <c r="D415" s="55">
        <f>IFERROR( HLOOKUP(A415,H2O_thicknesses!$1:$2,2, 0),0)</f>
        <v>0.17901978568929</v>
      </c>
      <c r="E415" s="55">
        <f>IFERROR( HLOOKUP(A415,CO2_thicknesses!$1:$2,2),0)</f>
        <v>-1.56510357650737</v>
      </c>
      <c r="F415" s="56">
        <f t="shared" si="33"/>
        <v>-115</v>
      </c>
      <c r="G415" s="57" t="str">
        <f t="shared" si="34"/>
        <v/>
      </c>
      <c r="H415" s="58"/>
    </row>
    <row r="416" spans="1:8">
      <c r="A416" s="52">
        <f t="shared" si="31"/>
        <v>396000</v>
      </c>
      <c r="B416" s="53">
        <f t="shared" si="32"/>
        <v>150</v>
      </c>
      <c r="C416" s="54" t="str">
        <f t="shared" si="30"/>
        <v>H2O</v>
      </c>
      <c r="D416" s="55">
        <f>IFERROR( HLOOKUP(A416,H2O_thicknesses!$1:$2,2, 0),0)</f>
        <v>0.189427005885968</v>
      </c>
      <c r="E416" s="55">
        <f>IFERROR( HLOOKUP(A416,CO2_thicknesses!$1:$2,2),0)</f>
        <v>-1.56510357650737</v>
      </c>
      <c r="F416" s="56">
        <f t="shared" si="33"/>
        <v>-114</v>
      </c>
      <c r="G416" s="57" t="str">
        <f t="shared" si="34"/>
        <v/>
      </c>
      <c r="H416" s="58"/>
    </row>
    <row r="417" spans="1:8">
      <c r="A417" s="52">
        <f t="shared" si="31"/>
        <v>397000</v>
      </c>
      <c r="B417" s="53">
        <f t="shared" si="32"/>
        <v>150</v>
      </c>
      <c r="C417" s="54" t="str">
        <f t="shared" si="30"/>
        <v>H2O</v>
      </c>
      <c r="D417" s="55">
        <f>IFERROR( HLOOKUP(A417,H2O_thicknesses!$1:$2,2, 0),0)</f>
        <v>0.19021672391097699</v>
      </c>
      <c r="E417" s="55">
        <f>IFERROR( HLOOKUP(A417,CO2_thicknesses!$1:$2,2),0)</f>
        <v>-1.56510357650737</v>
      </c>
      <c r="F417" s="56">
        <f t="shared" si="33"/>
        <v>-113</v>
      </c>
      <c r="G417" s="57" t="str">
        <f t="shared" si="34"/>
        <v/>
      </c>
      <c r="H417" s="58"/>
    </row>
    <row r="418" spans="1:8">
      <c r="A418" s="52">
        <f t="shared" si="31"/>
        <v>398000</v>
      </c>
      <c r="B418" s="53">
        <f t="shared" si="32"/>
        <v>150</v>
      </c>
      <c r="C418" s="54" t="str">
        <f t="shared" si="30"/>
        <v>H2O</v>
      </c>
      <c r="D418" s="55">
        <f>IFERROR( HLOOKUP(A418,H2O_thicknesses!$1:$2,2, 0),0)</f>
        <v>0.194071140071961</v>
      </c>
      <c r="E418" s="55">
        <f>IFERROR( HLOOKUP(A418,CO2_thicknesses!$1:$2,2),0)</f>
        <v>-1.56510357650737</v>
      </c>
      <c r="F418" s="56">
        <f t="shared" si="33"/>
        <v>-112</v>
      </c>
      <c r="G418" s="57" t="str">
        <f t="shared" si="34"/>
        <v/>
      </c>
      <c r="H418" s="58"/>
    </row>
    <row r="419" spans="1:8">
      <c r="A419" s="52">
        <f t="shared" si="31"/>
        <v>399000</v>
      </c>
      <c r="B419" s="53">
        <f t="shared" si="32"/>
        <v>150</v>
      </c>
      <c r="C419" s="54" t="str">
        <f t="shared" si="30"/>
        <v>H2O</v>
      </c>
      <c r="D419" s="55">
        <f>IFERROR( HLOOKUP(A419,H2O_thicknesses!$1:$2,2, 0),0)</f>
        <v>0.19769889556654899</v>
      </c>
      <c r="E419" s="55">
        <f>IFERROR( HLOOKUP(A419,CO2_thicknesses!$1:$2,2),0)</f>
        <v>-1.56510357650737</v>
      </c>
      <c r="F419" s="56">
        <f t="shared" si="33"/>
        <v>-111</v>
      </c>
      <c r="G419" s="57" t="str">
        <f t="shared" si="34"/>
        <v/>
      </c>
      <c r="H419" s="58"/>
    </row>
    <row r="420" spans="1:8">
      <c r="A420" s="52">
        <f t="shared" si="31"/>
        <v>400000</v>
      </c>
      <c r="B420" s="53">
        <f t="shared" si="32"/>
        <v>150</v>
      </c>
      <c r="C420" s="54" t="str">
        <f t="shared" si="30"/>
        <v>H2O</v>
      </c>
      <c r="D420" s="55">
        <f>IFERROR( HLOOKUP(A420,H2O_thicknesses!$1:$2,2, 0),0)</f>
        <v>0.200962510607745</v>
      </c>
      <c r="E420" s="55">
        <f>IFERROR( HLOOKUP(A420,CO2_thicknesses!$1:$2,2),0)</f>
        <v>-1.56510357650737</v>
      </c>
      <c r="F420" s="56">
        <f t="shared" si="33"/>
        <v>-110</v>
      </c>
      <c r="G420" s="57" t="str">
        <f t="shared" si="34"/>
        <v/>
      </c>
      <c r="H420" s="58"/>
    </row>
    <row r="421" spans="1:8">
      <c r="A421" s="52">
        <f t="shared" si="31"/>
        <v>401000</v>
      </c>
      <c r="B421" s="53">
        <f t="shared" si="32"/>
        <v>150</v>
      </c>
      <c r="C421" s="54" t="str">
        <f t="shared" si="30"/>
        <v>H2O</v>
      </c>
      <c r="D421" s="55">
        <f>IFERROR( HLOOKUP(A421,H2O_thicknesses!$1:$2,2, 0),0)</f>
        <v>0.20416949966219</v>
      </c>
      <c r="E421" s="55">
        <f>IFERROR( HLOOKUP(A421,CO2_thicknesses!$1:$2,2),0)</f>
        <v>-1.56510357650737</v>
      </c>
      <c r="F421" s="56">
        <f t="shared" si="33"/>
        <v>-109</v>
      </c>
      <c r="G421" s="57" t="str">
        <f t="shared" si="34"/>
        <v/>
      </c>
      <c r="H421" s="58"/>
    </row>
    <row r="422" spans="1:8">
      <c r="A422" s="52">
        <f t="shared" si="31"/>
        <v>402000</v>
      </c>
      <c r="B422" s="53">
        <f t="shared" si="32"/>
        <v>150</v>
      </c>
      <c r="C422" s="54" t="str">
        <f t="shared" si="30"/>
        <v>H2O</v>
      </c>
      <c r="D422" s="55">
        <f>IFERROR( HLOOKUP(A422,H2O_thicknesses!$1:$2,2, 0),0)</f>
        <v>0.208755840271381</v>
      </c>
      <c r="E422" s="55">
        <f>IFERROR( HLOOKUP(A422,CO2_thicknesses!$1:$2,2),0)</f>
        <v>-1.56510357650737</v>
      </c>
      <c r="F422" s="56">
        <f t="shared" si="33"/>
        <v>-108</v>
      </c>
      <c r="G422" s="57" t="str">
        <f t="shared" si="34"/>
        <v/>
      </c>
      <c r="H422" s="58"/>
    </row>
    <row r="423" spans="1:8">
      <c r="A423" s="52">
        <f t="shared" si="31"/>
        <v>403000</v>
      </c>
      <c r="B423" s="53">
        <f t="shared" si="32"/>
        <v>150</v>
      </c>
      <c r="C423" s="54" t="str">
        <f t="shared" si="30"/>
        <v>H2O</v>
      </c>
      <c r="D423" s="55">
        <f>IFERROR( HLOOKUP(A423,H2O_thicknesses!$1:$2,2, 0),0)</f>
        <v>0.20984627977863299</v>
      </c>
      <c r="E423" s="55">
        <f>IFERROR( HLOOKUP(A423,CO2_thicknesses!$1:$2,2),0)</f>
        <v>-1.56510357650737</v>
      </c>
      <c r="F423" s="56">
        <f t="shared" si="33"/>
        <v>-107</v>
      </c>
      <c r="G423" s="57" t="str">
        <f t="shared" si="34"/>
        <v/>
      </c>
      <c r="H423" s="58"/>
    </row>
    <row r="424" spans="1:8">
      <c r="A424" s="52">
        <f t="shared" si="31"/>
        <v>404000</v>
      </c>
      <c r="B424" s="53">
        <f t="shared" si="32"/>
        <v>150</v>
      </c>
      <c r="C424" s="54" t="str">
        <f t="shared" si="30"/>
        <v>H2O</v>
      </c>
      <c r="D424" s="55">
        <f>IFERROR( HLOOKUP(A424,H2O_thicknesses!$1:$2,2, 0),0)</f>
        <v>0.21369497894883099</v>
      </c>
      <c r="E424" s="55">
        <f>IFERROR( HLOOKUP(A424,CO2_thicknesses!$1:$2,2),0)</f>
        <v>-1.56510357650737</v>
      </c>
      <c r="F424" s="56">
        <f t="shared" si="33"/>
        <v>-106</v>
      </c>
      <c r="G424" s="57" t="str">
        <f t="shared" si="34"/>
        <v/>
      </c>
      <c r="H424" s="58"/>
    </row>
    <row r="425" spans="1:8">
      <c r="A425" s="52">
        <f t="shared" si="31"/>
        <v>405000</v>
      </c>
      <c r="B425" s="53">
        <f t="shared" si="32"/>
        <v>150</v>
      </c>
      <c r="C425" s="54" t="str">
        <f t="shared" si="30"/>
        <v>H2O</v>
      </c>
      <c r="D425" s="55">
        <f>IFERROR( HLOOKUP(A425,H2O_thicknesses!$1:$2,2, 0),0)</f>
        <v>0.22416794220688699</v>
      </c>
      <c r="E425" s="55">
        <f>IFERROR( HLOOKUP(A425,CO2_thicknesses!$1:$2,2),0)</f>
        <v>-1.56510357650737</v>
      </c>
      <c r="F425" s="56">
        <f t="shared" si="33"/>
        <v>-105</v>
      </c>
      <c r="G425" s="57" t="str">
        <f t="shared" si="34"/>
        <v/>
      </c>
      <c r="H425" s="58"/>
    </row>
    <row r="426" spans="1:8">
      <c r="A426" s="52">
        <f t="shared" si="31"/>
        <v>406000</v>
      </c>
      <c r="B426" s="53">
        <f t="shared" si="32"/>
        <v>150</v>
      </c>
      <c r="C426" s="54" t="str">
        <f t="shared" si="30"/>
        <v>H2O</v>
      </c>
      <c r="D426" s="55">
        <f>IFERROR( HLOOKUP(A426,H2O_thicknesses!$1:$2,2, 0),0)</f>
        <v>0.225106692177926</v>
      </c>
      <c r="E426" s="55">
        <f>IFERROR( HLOOKUP(A426,CO2_thicknesses!$1:$2,2),0)</f>
        <v>-1.56510357650737</v>
      </c>
      <c r="F426" s="56">
        <f t="shared" si="33"/>
        <v>-104</v>
      </c>
      <c r="G426" s="57" t="str">
        <f t="shared" si="34"/>
        <v/>
      </c>
      <c r="H426" s="58"/>
    </row>
    <row r="427" spans="1:8">
      <c r="A427" s="52">
        <f t="shared" si="31"/>
        <v>407000</v>
      </c>
      <c r="B427" s="53">
        <f t="shared" si="32"/>
        <v>150</v>
      </c>
      <c r="C427" s="54" t="str">
        <f t="shared" si="30"/>
        <v>H2O</v>
      </c>
      <c r="D427" s="55">
        <f>IFERROR( HLOOKUP(A427,H2O_thicknesses!$1:$2,2, 0),0)</f>
        <v>0.22831783870164499</v>
      </c>
      <c r="E427" s="55">
        <f>IFERROR( HLOOKUP(A427,CO2_thicknesses!$1:$2,2),0)</f>
        <v>-1.56510357650737</v>
      </c>
      <c r="F427" s="56">
        <f t="shared" si="33"/>
        <v>-103</v>
      </c>
      <c r="G427" s="57" t="str">
        <f t="shared" si="34"/>
        <v/>
      </c>
      <c r="H427" s="58"/>
    </row>
    <row r="428" spans="1:8">
      <c r="A428" s="52">
        <f t="shared" si="31"/>
        <v>408000</v>
      </c>
      <c r="B428" s="53">
        <f t="shared" si="32"/>
        <v>150</v>
      </c>
      <c r="C428" s="54" t="str">
        <f t="shared" si="30"/>
        <v>H2O</v>
      </c>
      <c r="D428" s="55">
        <f>IFERROR( HLOOKUP(A428,H2O_thicknesses!$1:$2,2, 0),0)</f>
        <v>0.234107916227762</v>
      </c>
      <c r="E428" s="55">
        <f>IFERROR( HLOOKUP(A428,CO2_thicknesses!$1:$2,2),0)</f>
        <v>-1.56510357650737</v>
      </c>
      <c r="F428" s="56">
        <f t="shared" si="33"/>
        <v>-102</v>
      </c>
      <c r="G428" s="57" t="str">
        <f t="shared" si="34"/>
        <v/>
      </c>
      <c r="H428" s="58"/>
    </row>
    <row r="429" spans="1:8">
      <c r="A429" s="52">
        <f t="shared" si="31"/>
        <v>409000</v>
      </c>
      <c r="B429" s="53">
        <f t="shared" si="32"/>
        <v>150</v>
      </c>
      <c r="C429" s="54" t="str">
        <f t="shared" si="30"/>
        <v>H2O</v>
      </c>
      <c r="D429" s="55">
        <f>IFERROR( HLOOKUP(A429,H2O_thicknesses!$1:$2,2, 0),0)</f>
        <v>0.24031476015127201</v>
      </c>
      <c r="E429" s="55">
        <f>IFERROR( HLOOKUP(A429,CO2_thicknesses!$1:$2,2),0)</f>
        <v>-1.56510357650737</v>
      </c>
      <c r="F429" s="56">
        <f t="shared" si="33"/>
        <v>-101</v>
      </c>
      <c r="G429" s="57" t="str">
        <f t="shared" si="34"/>
        <v/>
      </c>
      <c r="H429" s="58"/>
    </row>
    <row r="430" spans="1:8">
      <c r="A430" s="52">
        <f t="shared" si="31"/>
        <v>410000</v>
      </c>
      <c r="B430" s="53">
        <f t="shared" si="32"/>
        <v>150</v>
      </c>
      <c r="C430" s="54" t="str">
        <f t="shared" si="30"/>
        <v>H2O</v>
      </c>
      <c r="D430" s="55">
        <f>IFERROR( HLOOKUP(A430,H2O_thicknesses!$1:$2,2, 0),0)</f>
        <v>0.24387064017698501</v>
      </c>
      <c r="E430" s="55">
        <f>IFERROR( HLOOKUP(A430,CO2_thicknesses!$1:$2,2),0)</f>
        <v>-1.56510357650737</v>
      </c>
      <c r="F430" s="56">
        <f t="shared" si="33"/>
        <v>-100</v>
      </c>
      <c r="G430" s="57" t="str">
        <f t="shared" si="34"/>
        <v/>
      </c>
      <c r="H430" s="58"/>
    </row>
    <row r="431" spans="1:8">
      <c r="A431" s="52">
        <f t="shared" si="31"/>
        <v>411000</v>
      </c>
      <c r="B431" s="53">
        <f t="shared" si="32"/>
        <v>150</v>
      </c>
      <c r="C431" s="54" t="str">
        <f t="shared" si="30"/>
        <v>H2O</v>
      </c>
      <c r="D431" s="55">
        <f>IFERROR( HLOOKUP(A431,H2O_thicknesses!$1:$2,2, 0),0)</f>
        <v>0.24822837025870101</v>
      </c>
      <c r="E431" s="55">
        <f>IFERROR( HLOOKUP(A431,CO2_thicknesses!$1:$2,2),0)</f>
        <v>-1.56510357650737</v>
      </c>
      <c r="F431" s="56">
        <f t="shared" si="33"/>
        <v>-99</v>
      </c>
      <c r="G431" s="57" t="str">
        <f t="shared" si="34"/>
        <v/>
      </c>
      <c r="H431" s="58"/>
    </row>
    <row r="432" spans="1:8">
      <c r="A432" s="52">
        <f t="shared" si="31"/>
        <v>412000</v>
      </c>
      <c r="B432" s="53">
        <f t="shared" si="32"/>
        <v>150</v>
      </c>
      <c r="C432" s="54" t="str">
        <f t="shared" si="30"/>
        <v>H2O</v>
      </c>
      <c r="D432" s="55">
        <f>IFERROR( HLOOKUP(A432,H2O_thicknesses!$1:$2,2, 0),0)</f>
        <v>0.25829207246095598</v>
      </c>
      <c r="E432" s="55">
        <f>IFERROR( HLOOKUP(A432,CO2_thicknesses!$1:$2,2),0)</f>
        <v>-1.56510357650737</v>
      </c>
      <c r="F432" s="56">
        <f t="shared" si="33"/>
        <v>-98</v>
      </c>
      <c r="G432" s="57" t="str">
        <f t="shared" si="34"/>
        <v/>
      </c>
      <c r="H432" s="58"/>
    </row>
    <row r="433" spans="1:8">
      <c r="A433" s="52">
        <f t="shared" si="31"/>
        <v>413000</v>
      </c>
      <c r="B433" s="53">
        <f t="shared" si="32"/>
        <v>150</v>
      </c>
      <c r="C433" s="54" t="str">
        <f t="shared" si="30"/>
        <v>H2O</v>
      </c>
      <c r="D433" s="55">
        <f>IFERROR( HLOOKUP(A433,H2O_thicknesses!$1:$2,2, 0),0)</f>
        <v>0.25100135202232898</v>
      </c>
      <c r="E433" s="55">
        <f>IFERROR( HLOOKUP(A433,CO2_thicknesses!$1:$2,2),0)</f>
        <v>-1.56510357650737</v>
      </c>
      <c r="F433" s="56">
        <f t="shared" si="33"/>
        <v>-97</v>
      </c>
      <c r="G433" s="57" t="str">
        <f t="shared" si="34"/>
        <v/>
      </c>
      <c r="H433" s="58"/>
    </row>
    <row r="434" spans="1:8">
      <c r="A434" s="52">
        <f t="shared" si="31"/>
        <v>414000</v>
      </c>
      <c r="B434" s="53">
        <f t="shared" si="32"/>
        <v>150</v>
      </c>
      <c r="C434" s="54" t="str">
        <f t="shared" si="30"/>
        <v>H2O</v>
      </c>
      <c r="D434" s="55">
        <f>IFERROR( HLOOKUP(A434,H2O_thicknesses!$1:$2,2, 0),0)</f>
        <v>0.25112196030916001</v>
      </c>
      <c r="E434" s="55">
        <f>IFERROR( HLOOKUP(A434,CO2_thicknesses!$1:$2,2),0)</f>
        <v>-1.56510357650737</v>
      </c>
      <c r="F434" s="56">
        <f t="shared" si="33"/>
        <v>-96</v>
      </c>
      <c r="G434" s="57" t="str">
        <f t="shared" si="34"/>
        <v/>
      </c>
      <c r="H434" s="58"/>
    </row>
    <row r="435" spans="1:8">
      <c r="A435" s="52">
        <f t="shared" si="31"/>
        <v>415000</v>
      </c>
      <c r="B435" s="53">
        <f t="shared" si="32"/>
        <v>150</v>
      </c>
      <c r="C435" s="54" t="str">
        <f t="shared" si="30"/>
        <v>H2O</v>
      </c>
      <c r="D435" s="55">
        <f>IFERROR( HLOOKUP(A435,H2O_thicknesses!$1:$2,2, 0),0)</f>
        <v>0.25053480333386302</v>
      </c>
      <c r="E435" s="55">
        <f>IFERROR( HLOOKUP(A435,CO2_thicknesses!$1:$2,2),0)</f>
        <v>-1.56510357650737</v>
      </c>
      <c r="F435" s="56">
        <f t="shared" si="33"/>
        <v>-95</v>
      </c>
      <c r="G435" s="57" t="str">
        <f t="shared" si="34"/>
        <v/>
      </c>
      <c r="H435" s="58"/>
    </row>
    <row r="436" spans="1:8">
      <c r="A436" s="52">
        <f t="shared" si="31"/>
        <v>416000</v>
      </c>
      <c r="B436" s="53">
        <f t="shared" si="32"/>
        <v>150</v>
      </c>
      <c r="C436" s="54" t="str">
        <f t="shared" si="30"/>
        <v>H2O</v>
      </c>
      <c r="D436" s="55">
        <f>IFERROR( HLOOKUP(A436,H2O_thicknesses!$1:$2,2, 0),0)</f>
        <v>0.246581438665332</v>
      </c>
      <c r="E436" s="55">
        <f>IFERROR( HLOOKUP(A436,CO2_thicknesses!$1:$2,2),0)</f>
        <v>-1.56510357650737</v>
      </c>
      <c r="F436" s="56">
        <f t="shared" si="33"/>
        <v>-94</v>
      </c>
      <c r="G436" s="57" t="str">
        <f t="shared" si="34"/>
        <v/>
      </c>
      <c r="H436" s="58"/>
    </row>
    <row r="437" spans="1:8">
      <c r="A437" s="52">
        <f t="shared" si="31"/>
        <v>417000</v>
      </c>
      <c r="B437" s="53">
        <f t="shared" si="32"/>
        <v>150</v>
      </c>
      <c r="C437" s="54" t="str">
        <f t="shared" si="30"/>
        <v>H2O</v>
      </c>
      <c r="D437" s="55">
        <f>IFERROR( HLOOKUP(A437,H2O_thicknesses!$1:$2,2, 0),0)</f>
        <v>0.247090261432723</v>
      </c>
      <c r="E437" s="55">
        <f>IFERROR( HLOOKUP(A437,CO2_thicknesses!$1:$2,2),0)</f>
        <v>-1.56510357650737</v>
      </c>
      <c r="F437" s="56">
        <f t="shared" si="33"/>
        <v>-93</v>
      </c>
      <c r="G437" s="57" t="str">
        <f t="shared" si="34"/>
        <v/>
      </c>
      <c r="H437" s="58"/>
    </row>
    <row r="438" spans="1:8">
      <c r="A438" s="52">
        <f t="shared" si="31"/>
        <v>418000</v>
      </c>
      <c r="B438" s="53">
        <f t="shared" si="32"/>
        <v>150</v>
      </c>
      <c r="C438" s="54" t="str">
        <f t="shared" si="30"/>
        <v>H2O</v>
      </c>
      <c r="D438" s="55">
        <f>IFERROR( HLOOKUP(A438,H2O_thicknesses!$1:$2,2, 0),0)</f>
        <v>0.24658609183497299</v>
      </c>
      <c r="E438" s="55">
        <f>IFERROR( HLOOKUP(A438,CO2_thicknesses!$1:$2,2),0)</f>
        <v>-1.56510357650737</v>
      </c>
      <c r="F438" s="56">
        <f t="shared" si="33"/>
        <v>-92</v>
      </c>
      <c r="G438" s="57" t="str">
        <f t="shared" si="34"/>
        <v/>
      </c>
      <c r="H438" s="58"/>
    </row>
    <row r="439" spans="1:8">
      <c r="A439" s="52">
        <f t="shared" si="31"/>
        <v>419000</v>
      </c>
      <c r="B439" s="53">
        <f t="shared" si="32"/>
        <v>150</v>
      </c>
      <c r="C439" s="54" t="str">
        <f t="shared" si="30"/>
        <v>H2O</v>
      </c>
      <c r="D439" s="55">
        <f>IFERROR( HLOOKUP(A439,H2O_thicknesses!$1:$2,2, 0),0)</f>
        <v>0.242019644321778</v>
      </c>
      <c r="E439" s="55">
        <f>IFERROR( HLOOKUP(A439,CO2_thicknesses!$1:$2,2),0)</f>
        <v>-1.56510357650737</v>
      </c>
      <c r="F439" s="56">
        <f t="shared" si="33"/>
        <v>-91</v>
      </c>
      <c r="G439" s="57" t="str">
        <f t="shared" si="34"/>
        <v/>
      </c>
      <c r="H439" s="58"/>
    </row>
    <row r="440" spans="1:8">
      <c r="A440" s="52">
        <f t="shared" si="31"/>
        <v>420000</v>
      </c>
      <c r="B440" s="53">
        <f t="shared" si="32"/>
        <v>150</v>
      </c>
      <c r="C440" s="54" t="str">
        <f t="shared" si="30"/>
        <v>H2O</v>
      </c>
      <c r="D440" s="55">
        <f>IFERROR( HLOOKUP(A440,H2O_thicknesses!$1:$2,2, 0),0)</f>
        <v>0.23370478388911201</v>
      </c>
      <c r="E440" s="55">
        <f>IFERROR( HLOOKUP(A440,CO2_thicknesses!$1:$2,2),0)</f>
        <v>-1.56510357650737</v>
      </c>
      <c r="F440" s="56">
        <f t="shared" si="33"/>
        <v>-90</v>
      </c>
      <c r="G440" s="57" t="str">
        <f t="shared" si="34"/>
        <v/>
      </c>
      <c r="H440" s="58"/>
    </row>
    <row r="441" spans="1:8">
      <c r="A441" s="52">
        <f t="shared" si="31"/>
        <v>421000</v>
      </c>
      <c r="B441" s="53">
        <f t="shared" si="32"/>
        <v>150</v>
      </c>
      <c r="C441" s="54" t="str">
        <f t="shared" si="30"/>
        <v>H2O</v>
      </c>
      <c r="D441" s="55">
        <f>IFERROR( HLOOKUP(A441,H2O_thicknesses!$1:$2,2, 0),0)</f>
        <v>0.23253753232711299</v>
      </c>
      <c r="E441" s="55">
        <f>IFERROR( HLOOKUP(A441,CO2_thicknesses!$1:$2,2),0)</f>
        <v>-1.56510357650737</v>
      </c>
      <c r="F441" s="56">
        <f t="shared" si="33"/>
        <v>-89</v>
      </c>
      <c r="G441" s="57" t="str">
        <f t="shared" si="34"/>
        <v/>
      </c>
      <c r="H441" s="58"/>
    </row>
    <row r="442" spans="1:8">
      <c r="A442" s="52">
        <f t="shared" si="31"/>
        <v>422000</v>
      </c>
      <c r="B442" s="53">
        <f t="shared" si="32"/>
        <v>150</v>
      </c>
      <c r="C442" s="54" t="str">
        <f t="shared" si="30"/>
        <v>H2O</v>
      </c>
      <c r="D442" s="55">
        <f>IFERROR( HLOOKUP(A442,H2O_thicknesses!$1:$2,2, 0),0)</f>
        <v>0.23115654534220101</v>
      </c>
      <c r="E442" s="55">
        <f>IFERROR( HLOOKUP(A442,CO2_thicknesses!$1:$2,2),0)</f>
        <v>-1.56510357650737</v>
      </c>
      <c r="F442" s="56">
        <f t="shared" si="33"/>
        <v>-88</v>
      </c>
      <c r="G442" s="57" t="str">
        <f t="shared" si="34"/>
        <v/>
      </c>
      <c r="H442" s="58"/>
    </row>
    <row r="443" spans="1:8">
      <c r="A443" s="52">
        <f t="shared" si="31"/>
        <v>423000</v>
      </c>
      <c r="B443" s="53">
        <f t="shared" si="32"/>
        <v>150</v>
      </c>
      <c r="C443" s="54" t="str">
        <f t="shared" si="30"/>
        <v>H2O</v>
      </c>
      <c r="D443" s="55">
        <f>IFERROR( HLOOKUP(A443,H2O_thicknesses!$1:$2,2, 0),0)</f>
        <v>0.23047764840206</v>
      </c>
      <c r="E443" s="55">
        <f>IFERROR( HLOOKUP(A443,CO2_thicknesses!$1:$2,2),0)</f>
        <v>-1.56510357650737</v>
      </c>
      <c r="F443" s="56">
        <f t="shared" si="33"/>
        <v>-87</v>
      </c>
      <c r="G443" s="57" t="str">
        <f t="shared" si="34"/>
        <v/>
      </c>
      <c r="H443" s="58"/>
    </row>
    <row r="444" spans="1:8">
      <c r="A444" s="52">
        <f t="shared" si="31"/>
        <v>424000</v>
      </c>
      <c r="B444" s="53">
        <f t="shared" si="32"/>
        <v>150</v>
      </c>
      <c r="C444" s="54" t="str">
        <f t="shared" si="30"/>
        <v>H2O</v>
      </c>
      <c r="D444" s="55">
        <f>IFERROR( HLOOKUP(A444,H2O_thicknesses!$1:$2,2, 0),0)</f>
        <v>0.23243916655879501</v>
      </c>
      <c r="E444" s="55">
        <f>IFERROR( HLOOKUP(A444,CO2_thicknesses!$1:$2,2),0)</f>
        <v>-1.56510357650737</v>
      </c>
      <c r="F444" s="56">
        <f t="shared" si="33"/>
        <v>-86</v>
      </c>
      <c r="G444" s="57" t="str">
        <f t="shared" si="34"/>
        <v/>
      </c>
      <c r="H444" s="58"/>
    </row>
    <row r="445" spans="1:8">
      <c r="A445" s="52">
        <f t="shared" si="31"/>
        <v>425000</v>
      </c>
      <c r="B445" s="53">
        <f t="shared" si="32"/>
        <v>150</v>
      </c>
      <c r="C445" s="54" t="str">
        <f t="shared" si="30"/>
        <v>H2O</v>
      </c>
      <c r="D445" s="55">
        <f>IFERROR( HLOOKUP(A445,H2O_thicknesses!$1:$2,2, 0),0)</f>
        <v>0.237451911182466</v>
      </c>
      <c r="E445" s="55">
        <f>IFERROR( HLOOKUP(A445,CO2_thicknesses!$1:$2,2),0)</f>
        <v>-1.56510357650737</v>
      </c>
      <c r="F445" s="56">
        <f t="shared" si="33"/>
        <v>-85</v>
      </c>
      <c r="G445" s="57" t="str">
        <f t="shared" si="34"/>
        <v/>
      </c>
      <c r="H445" s="58"/>
    </row>
    <row r="446" spans="1:8">
      <c r="A446" s="52">
        <f t="shared" si="31"/>
        <v>426000</v>
      </c>
      <c r="B446" s="53">
        <f t="shared" si="32"/>
        <v>150</v>
      </c>
      <c r="C446" s="54" t="str">
        <f t="shared" si="30"/>
        <v>H2O</v>
      </c>
      <c r="D446" s="55">
        <f>IFERROR( HLOOKUP(A446,H2O_thicknesses!$1:$2,2, 0),0)</f>
        <v>0.23768831269093699</v>
      </c>
      <c r="E446" s="55">
        <f>IFERROR( HLOOKUP(A446,CO2_thicknesses!$1:$2,2),0)</f>
        <v>-1.56510357650737</v>
      </c>
      <c r="F446" s="56">
        <f t="shared" si="33"/>
        <v>-84</v>
      </c>
      <c r="G446" s="57" t="str">
        <f t="shared" si="34"/>
        <v/>
      </c>
      <c r="H446" s="58"/>
    </row>
    <row r="447" spans="1:8">
      <c r="A447" s="52">
        <f t="shared" si="31"/>
        <v>427000</v>
      </c>
      <c r="B447" s="53">
        <f t="shared" si="32"/>
        <v>150</v>
      </c>
      <c r="C447" s="54" t="str">
        <f t="shared" si="30"/>
        <v>H2O</v>
      </c>
      <c r="D447" s="55">
        <f>IFERROR( HLOOKUP(A447,H2O_thicknesses!$1:$2,2, 0),0)</f>
        <v>0.244190486248718</v>
      </c>
      <c r="E447" s="55">
        <f>IFERROR( HLOOKUP(A447,CO2_thicknesses!$1:$2,2),0)</f>
        <v>-1.56510357650737</v>
      </c>
      <c r="F447" s="56">
        <f t="shared" si="33"/>
        <v>-83</v>
      </c>
      <c r="G447" s="57" t="str">
        <f t="shared" si="34"/>
        <v/>
      </c>
      <c r="H447" s="58"/>
    </row>
    <row r="448" spans="1:8">
      <c r="A448" s="52">
        <f t="shared" si="31"/>
        <v>428000</v>
      </c>
      <c r="B448" s="53">
        <f t="shared" si="32"/>
        <v>150</v>
      </c>
      <c r="C448" s="54" t="str">
        <f t="shared" si="30"/>
        <v>H2O</v>
      </c>
      <c r="D448" s="55">
        <f>IFERROR( HLOOKUP(A448,H2O_thicknesses!$1:$2,2, 0),0)</f>
        <v>0.248246710329591</v>
      </c>
      <c r="E448" s="55">
        <f>IFERROR( HLOOKUP(A448,CO2_thicknesses!$1:$2,2),0)</f>
        <v>-1.56510357650737</v>
      </c>
      <c r="F448" s="56">
        <f t="shared" si="33"/>
        <v>-82</v>
      </c>
      <c r="G448" s="57" t="str">
        <f t="shared" si="34"/>
        <v/>
      </c>
      <c r="H448" s="58"/>
    </row>
    <row r="449" spans="1:8">
      <c r="A449" s="52">
        <f t="shared" si="31"/>
        <v>429000</v>
      </c>
      <c r="B449" s="53">
        <f t="shared" si="32"/>
        <v>150</v>
      </c>
      <c r="C449" s="54" t="str">
        <f t="shared" si="30"/>
        <v>H2O</v>
      </c>
      <c r="D449" s="55">
        <f>IFERROR( HLOOKUP(A449,H2O_thicknesses!$1:$2,2, 0),0)</f>
        <v>0.249573525848204</v>
      </c>
      <c r="E449" s="55">
        <f>IFERROR( HLOOKUP(A449,CO2_thicknesses!$1:$2,2),0)</f>
        <v>-1.56510357650737</v>
      </c>
      <c r="F449" s="56">
        <f t="shared" si="33"/>
        <v>-81</v>
      </c>
      <c r="G449" s="57" t="str">
        <f t="shared" si="34"/>
        <v/>
      </c>
      <c r="H449" s="58"/>
    </row>
    <row r="450" spans="1:8">
      <c r="A450" s="52">
        <f t="shared" si="31"/>
        <v>430000</v>
      </c>
      <c r="B450" s="53">
        <f t="shared" si="32"/>
        <v>150</v>
      </c>
      <c r="C450" s="54" t="str">
        <f t="shared" si="30"/>
        <v>H2O</v>
      </c>
      <c r="D450" s="55">
        <f>IFERROR( HLOOKUP(A450,H2O_thicknesses!$1:$2,2, 0),0)</f>
        <v>0.25097508399596102</v>
      </c>
      <c r="E450" s="55">
        <f>IFERROR( HLOOKUP(A450,CO2_thicknesses!$1:$2,2),0)</f>
        <v>-1.56510357650737</v>
      </c>
      <c r="F450" s="56">
        <f t="shared" si="33"/>
        <v>-80</v>
      </c>
      <c r="G450" s="57" t="str">
        <f t="shared" si="34"/>
        <v/>
      </c>
      <c r="H450" s="58"/>
    </row>
    <row r="451" spans="1:8">
      <c r="A451" s="52">
        <f t="shared" si="31"/>
        <v>431000</v>
      </c>
      <c r="B451" s="53">
        <f t="shared" si="32"/>
        <v>150</v>
      </c>
      <c r="C451" s="54" t="str">
        <f t="shared" si="30"/>
        <v>H2O</v>
      </c>
      <c r="D451" s="55">
        <f>IFERROR( HLOOKUP(A451,H2O_thicknesses!$1:$2,2, 0),0)</f>
        <v>0.25178041135214602</v>
      </c>
      <c r="E451" s="55">
        <f>IFERROR( HLOOKUP(A451,CO2_thicknesses!$1:$2,2),0)</f>
        <v>-1.56510357650737</v>
      </c>
      <c r="F451" s="56">
        <f t="shared" si="33"/>
        <v>-79</v>
      </c>
      <c r="G451" s="57" t="str">
        <f t="shared" si="34"/>
        <v/>
      </c>
      <c r="H451" s="58"/>
    </row>
    <row r="452" spans="1:8">
      <c r="A452" s="52">
        <f t="shared" si="31"/>
        <v>432000</v>
      </c>
      <c r="B452" s="53">
        <f t="shared" si="32"/>
        <v>150</v>
      </c>
      <c r="C452" s="54" t="str">
        <f t="shared" si="30"/>
        <v>H2O</v>
      </c>
      <c r="D452" s="55">
        <f>IFERROR( HLOOKUP(A452,H2O_thicknesses!$1:$2,2, 0),0)</f>
        <v>0.25110839680515801</v>
      </c>
      <c r="E452" s="55">
        <f>IFERROR( HLOOKUP(A452,CO2_thicknesses!$1:$2,2),0)</f>
        <v>-1.56510357650737</v>
      </c>
      <c r="F452" s="56">
        <f t="shared" si="33"/>
        <v>-78</v>
      </c>
      <c r="G452" s="57" t="str">
        <f t="shared" si="34"/>
        <v/>
      </c>
      <c r="H452" s="58"/>
    </row>
    <row r="453" spans="1:8">
      <c r="A453" s="52">
        <f t="shared" si="31"/>
        <v>433000</v>
      </c>
      <c r="B453" s="53">
        <f t="shared" si="32"/>
        <v>150</v>
      </c>
      <c r="C453" s="54" t="str">
        <f t="shared" si="30"/>
        <v>H2O</v>
      </c>
      <c r="D453" s="55">
        <f>IFERROR( HLOOKUP(A453,H2O_thicknesses!$1:$2,2, 0),0)</f>
        <v>0.26524397289349599</v>
      </c>
      <c r="E453" s="55">
        <f>IFERROR( HLOOKUP(A453,CO2_thicknesses!$1:$2,2),0)</f>
        <v>-1.56510357650737</v>
      </c>
      <c r="F453" s="56">
        <f t="shared" si="33"/>
        <v>-77</v>
      </c>
      <c r="G453" s="57" t="str">
        <f t="shared" si="34"/>
        <v/>
      </c>
      <c r="H453" s="58"/>
    </row>
    <row r="454" spans="1:8">
      <c r="A454" s="52">
        <f t="shared" si="31"/>
        <v>434000</v>
      </c>
      <c r="B454" s="53">
        <f t="shared" si="32"/>
        <v>150</v>
      </c>
      <c r="C454" s="54" t="str">
        <f t="shared" si="30"/>
        <v>H2O</v>
      </c>
      <c r="D454" s="55">
        <f>IFERROR( HLOOKUP(A454,H2O_thicknesses!$1:$2,2, 0),0)</f>
        <v>0.27000791071886998</v>
      </c>
      <c r="E454" s="55">
        <f>IFERROR( HLOOKUP(A454,CO2_thicknesses!$1:$2,2),0)</f>
        <v>-1.56510357650737</v>
      </c>
      <c r="F454" s="56">
        <f t="shared" si="33"/>
        <v>-76</v>
      </c>
      <c r="G454" s="57" t="str">
        <f t="shared" si="34"/>
        <v/>
      </c>
      <c r="H454" s="58"/>
    </row>
    <row r="455" spans="1:8">
      <c r="A455" s="52">
        <f t="shared" si="31"/>
        <v>435000</v>
      </c>
      <c r="B455" s="53">
        <f t="shared" si="32"/>
        <v>150</v>
      </c>
      <c r="C455" s="54" t="str">
        <f t="shared" si="30"/>
        <v>H2O</v>
      </c>
      <c r="D455" s="55">
        <f>IFERROR( HLOOKUP(A455,H2O_thicknesses!$1:$2,2, 0),0)</f>
        <v>0.27415050822522302</v>
      </c>
      <c r="E455" s="55">
        <f>IFERROR( HLOOKUP(A455,CO2_thicknesses!$1:$2,2),0)</f>
        <v>-1.56510357650737</v>
      </c>
      <c r="F455" s="56">
        <f t="shared" si="33"/>
        <v>-75</v>
      </c>
      <c r="G455" s="57" t="str">
        <f t="shared" si="34"/>
        <v/>
      </c>
      <c r="H455" s="58"/>
    </row>
    <row r="456" spans="1:8">
      <c r="A456" s="52">
        <f t="shared" si="31"/>
        <v>436000</v>
      </c>
      <c r="B456" s="53">
        <f t="shared" si="32"/>
        <v>150</v>
      </c>
      <c r="C456" s="54" t="str">
        <f t="shared" si="30"/>
        <v>H2O</v>
      </c>
      <c r="D456" s="55">
        <f>IFERROR( HLOOKUP(A456,H2O_thicknesses!$1:$2,2, 0),0)</f>
        <v>0.26749727723584299</v>
      </c>
      <c r="E456" s="55">
        <f>IFERROR( HLOOKUP(A456,CO2_thicknesses!$1:$2,2),0)</f>
        <v>-1.56510357650737</v>
      </c>
      <c r="F456" s="56">
        <f t="shared" si="33"/>
        <v>-74</v>
      </c>
      <c r="G456" s="57" t="str">
        <f t="shared" si="34"/>
        <v/>
      </c>
      <c r="H456" s="58"/>
    </row>
    <row r="457" spans="1:8">
      <c r="A457" s="52">
        <f t="shared" si="31"/>
        <v>437000</v>
      </c>
      <c r="B457" s="53">
        <f t="shared" si="32"/>
        <v>150</v>
      </c>
      <c r="C457" s="54" t="str">
        <f t="shared" si="30"/>
        <v>H2O</v>
      </c>
      <c r="D457" s="55">
        <f>IFERROR( HLOOKUP(A457,H2O_thicknesses!$1:$2,2, 0),0)</f>
        <v>0.26874494832850199</v>
      </c>
      <c r="E457" s="55">
        <f>IFERROR( HLOOKUP(A457,CO2_thicknesses!$1:$2,2),0)</f>
        <v>-1.56510357650737</v>
      </c>
      <c r="F457" s="56">
        <f t="shared" si="33"/>
        <v>-73</v>
      </c>
      <c r="G457" s="57" t="str">
        <f t="shared" si="34"/>
        <v/>
      </c>
      <c r="H457" s="58"/>
    </row>
    <row r="458" spans="1:8">
      <c r="A458" s="52">
        <f t="shared" si="31"/>
        <v>438000</v>
      </c>
      <c r="B458" s="53">
        <f t="shared" si="32"/>
        <v>150</v>
      </c>
      <c r="C458" s="54" t="str">
        <f t="shared" si="30"/>
        <v>H2O</v>
      </c>
      <c r="D458" s="55">
        <f>IFERROR( HLOOKUP(A458,H2O_thicknesses!$1:$2,2, 0),0)</f>
        <v>0.27249410783855499</v>
      </c>
      <c r="E458" s="55">
        <f>IFERROR( HLOOKUP(A458,CO2_thicknesses!$1:$2,2),0)</f>
        <v>-1.56510357650737</v>
      </c>
      <c r="F458" s="56">
        <f t="shared" si="33"/>
        <v>-72</v>
      </c>
      <c r="G458" s="57" t="str">
        <f t="shared" si="34"/>
        <v/>
      </c>
      <c r="H458" s="58"/>
    </row>
    <row r="459" spans="1:8">
      <c r="A459" s="52">
        <f t="shared" si="31"/>
        <v>439000</v>
      </c>
      <c r="B459" s="53">
        <f t="shared" si="32"/>
        <v>150</v>
      </c>
      <c r="C459" s="54" t="str">
        <f t="shared" si="30"/>
        <v>H2O</v>
      </c>
      <c r="D459" s="55">
        <f>IFERROR( HLOOKUP(A459,H2O_thicknesses!$1:$2,2, 0),0)</f>
        <v>0.26955373325286203</v>
      </c>
      <c r="E459" s="55">
        <f>IFERROR( HLOOKUP(A459,CO2_thicknesses!$1:$2,2),0)</f>
        <v>-1.56510357650737</v>
      </c>
      <c r="F459" s="56">
        <f t="shared" si="33"/>
        <v>-71</v>
      </c>
      <c r="G459" s="57" t="str">
        <f t="shared" si="34"/>
        <v/>
      </c>
      <c r="H459" s="58"/>
    </row>
    <row r="460" spans="1:8">
      <c r="A460" s="52">
        <f t="shared" si="31"/>
        <v>440000</v>
      </c>
      <c r="B460" s="53">
        <f t="shared" si="32"/>
        <v>150</v>
      </c>
      <c r="C460" s="54" t="str">
        <f t="shared" si="30"/>
        <v>H2O</v>
      </c>
      <c r="D460" s="55">
        <f>IFERROR( HLOOKUP(A460,H2O_thicknesses!$1:$2,2, 0),0)</f>
        <v>0.27327366016393301</v>
      </c>
      <c r="E460" s="55">
        <f>IFERROR( HLOOKUP(A460,CO2_thicknesses!$1:$2,2),0)</f>
        <v>-1.56510357650737</v>
      </c>
      <c r="F460" s="56">
        <f t="shared" si="33"/>
        <v>-70</v>
      </c>
      <c r="G460" s="57" t="str">
        <f t="shared" si="34"/>
        <v/>
      </c>
      <c r="H460" s="58"/>
    </row>
    <row r="461" spans="1:8">
      <c r="A461" s="52">
        <f t="shared" si="31"/>
        <v>441000</v>
      </c>
      <c r="B461" s="53">
        <f t="shared" si="32"/>
        <v>150</v>
      </c>
      <c r="C461" s="54" t="str">
        <f t="shared" si="30"/>
        <v>H2O</v>
      </c>
      <c r="D461" s="55">
        <f>IFERROR( HLOOKUP(A461,H2O_thicknesses!$1:$2,2, 0),0)</f>
        <v>0.26555799657198698</v>
      </c>
      <c r="E461" s="55">
        <f>IFERROR( HLOOKUP(A461,CO2_thicknesses!$1:$2,2),0)</f>
        <v>-1.56510357650737</v>
      </c>
      <c r="F461" s="56">
        <f t="shared" si="33"/>
        <v>-69</v>
      </c>
      <c r="G461" s="57" t="str">
        <f t="shared" si="34"/>
        <v/>
      </c>
      <c r="H461" s="58"/>
    </row>
    <row r="462" spans="1:8">
      <c r="A462" s="52">
        <f t="shared" si="31"/>
        <v>442000</v>
      </c>
      <c r="B462" s="53">
        <f t="shared" si="32"/>
        <v>150</v>
      </c>
      <c r="C462" s="54" t="str">
        <f t="shared" si="30"/>
        <v>H2O</v>
      </c>
      <c r="D462" s="55">
        <f>IFERROR( HLOOKUP(A462,H2O_thicknesses!$1:$2,2, 0),0)</f>
        <v>0.25907821157946398</v>
      </c>
      <c r="E462" s="55">
        <f>IFERROR( HLOOKUP(A462,CO2_thicknesses!$1:$2,2),0)</f>
        <v>-1.56510357650737</v>
      </c>
      <c r="F462" s="56">
        <f t="shared" si="33"/>
        <v>-68</v>
      </c>
      <c r="G462" s="57" t="str">
        <f t="shared" si="34"/>
        <v/>
      </c>
      <c r="H462" s="58"/>
    </row>
    <row r="463" spans="1:8">
      <c r="A463" s="52">
        <f t="shared" si="31"/>
        <v>443000</v>
      </c>
      <c r="B463" s="53">
        <f t="shared" si="32"/>
        <v>150</v>
      </c>
      <c r="C463" s="54" t="str">
        <f t="shared" si="30"/>
        <v>H2O</v>
      </c>
      <c r="D463" s="55">
        <f>IFERROR( HLOOKUP(A463,H2O_thicknesses!$1:$2,2, 0),0)</f>
        <v>0.26389011151796798</v>
      </c>
      <c r="E463" s="55">
        <f>IFERROR( HLOOKUP(A463,CO2_thicknesses!$1:$2,2),0)</f>
        <v>-1.56510357650737</v>
      </c>
      <c r="F463" s="56">
        <f t="shared" si="33"/>
        <v>-67</v>
      </c>
      <c r="G463" s="57" t="str">
        <f t="shared" si="34"/>
        <v/>
      </c>
      <c r="H463" s="58"/>
    </row>
    <row r="464" spans="1:8">
      <c r="A464" s="52">
        <f t="shared" si="31"/>
        <v>444000</v>
      </c>
      <c r="B464" s="53">
        <f t="shared" si="32"/>
        <v>150</v>
      </c>
      <c r="C464" s="54" t="str">
        <f t="shared" si="30"/>
        <v>H2O</v>
      </c>
      <c r="D464" s="55">
        <f>IFERROR( HLOOKUP(A464,H2O_thicknesses!$1:$2,2, 0),0)</f>
        <v>0.27264695105606301</v>
      </c>
      <c r="E464" s="55">
        <f>IFERROR( HLOOKUP(A464,CO2_thicknesses!$1:$2,2),0)</f>
        <v>-1.56510357650737</v>
      </c>
      <c r="F464" s="56">
        <f t="shared" si="33"/>
        <v>-66</v>
      </c>
      <c r="G464" s="57" t="str">
        <f t="shared" si="34"/>
        <v/>
      </c>
      <c r="H464" s="58"/>
    </row>
    <row r="465" spans="1:8">
      <c r="A465" s="52">
        <f t="shared" si="31"/>
        <v>445000</v>
      </c>
      <c r="B465" s="53">
        <f t="shared" si="32"/>
        <v>150</v>
      </c>
      <c r="C465" s="54" t="str">
        <f t="shared" si="30"/>
        <v>H2O</v>
      </c>
      <c r="D465" s="55">
        <f>IFERROR( HLOOKUP(A465,H2O_thicknesses!$1:$2,2, 0),0)</f>
        <v>0.28614770176584697</v>
      </c>
      <c r="E465" s="55">
        <f>IFERROR( HLOOKUP(A465,CO2_thicknesses!$1:$2,2),0)</f>
        <v>-1.56510357650737</v>
      </c>
      <c r="F465" s="56">
        <f t="shared" si="33"/>
        <v>-65</v>
      </c>
      <c r="G465" s="57" t="str">
        <f t="shared" si="34"/>
        <v/>
      </c>
      <c r="H465" s="58"/>
    </row>
    <row r="466" spans="1:8">
      <c r="A466" s="52">
        <f t="shared" si="31"/>
        <v>446000</v>
      </c>
      <c r="B466" s="53">
        <f t="shared" si="32"/>
        <v>150</v>
      </c>
      <c r="C466" s="54" t="str">
        <f t="shared" si="30"/>
        <v>H2O</v>
      </c>
      <c r="D466" s="55">
        <f>IFERROR( HLOOKUP(A466,H2O_thicknesses!$1:$2,2, 0),0)</f>
        <v>0.252019051039856</v>
      </c>
      <c r="E466" s="55">
        <f>IFERROR( HLOOKUP(A466,CO2_thicknesses!$1:$2,2),0)</f>
        <v>-1.56510357650737</v>
      </c>
      <c r="F466" s="56">
        <f t="shared" si="33"/>
        <v>-64</v>
      </c>
      <c r="G466" s="57" t="str">
        <f t="shared" si="34"/>
        <v/>
      </c>
      <c r="H466" s="58"/>
    </row>
    <row r="467" spans="1:8">
      <c r="A467" s="52">
        <f t="shared" si="31"/>
        <v>447000</v>
      </c>
      <c r="B467" s="53">
        <f t="shared" si="32"/>
        <v>150</v>
      </c>
      <c r="C467" s="54" t="str">
        <f t="shared" si="30"/>
        <v>H2O</v>
      </c>
      <c r="D467" s="55">
        <f>IFERROR( HLOOKUP(A467,H2O_thicknesses!$1:$2,2, 0),0)</f>
        <v>0.25678731803559002</v>
      </c>
      <c r="E467" s="55">
        <f>IFERROR( HLOOKUP(A467,CO2_thicknesses!$1:$2,2),0)</f>
        <v>-1.56510357650737</v>
      </c>
      <c r="F467" s="56">
        <f t="shared" si="33"/>
        <v>-63</v>
      </c>
      <c r="G467" s="57" t="str">
        <f t="shared" si="34"/>
        <v/>
      </c>
      <c r="H467" s="58"/>
    </row>
    <row r="468" spans="1:8">
      <c r="A468" s="52">
        <f t="shared" si="31"/>
        <v>448000</v>
      </c>
      <c r="B468" s="53">
        <f t="shared" si="32"/>
        <v>150</v>
      </c>
      <c r="C468" s="54" t="str">
        <f t="shared" ref="C468:C531" si="35">IF(D468=0, "CO2", "H2O")</f>
        <v>H2O</v>
      </c>
      <c r="D468" s="55">
        <f>IFERROR( HLOOKUP(A468,H2O_thicknesses!$1:$2,2, 0),0)</f>
        <v>0.26001098130672001</v>
      </c>
      <c r="E468" s="55">
        <f>IFERROR( HLOOKUP(A468,CO2_thicknesses!$1:$2,2),0)</f>
        <v>-1.56510357650737</v>
      </c>
      <c r="F468" s="56">
        <f t="shared" si="33"/>
        <v>-62</v>
      </c>
      <c r="G468" s="57" t="str">
        <f t="shared" si="34"/>
        <v/>
      </c>
      <c r="H468" s="58"/>
    </row>
    <row r="469" spans="1:8">
      <c r="A469" s="52">
        <f t="shared" ref="A469:A530" si="36">A468+1000</f>
        <v>449000</v>
      </c>
      <c r="B469" s="53">
        <f t="shared" ref="B469:B530" si="37">B468</f>
        <v>150</v>
      </c>
      <c r="C469" s="54" t="str">
        <f t="shared" si="35"/>
        <v>H2O</v>
      </c>
      <c r="D469" s="55">
        <f>IFERROR( HLOOKUP(A469,H2O_thicknesses!$1:$2,2, 0),0)</f>
        <v>0.26861053295202098</v>
      </c>
      <c r="E469" s="55">
        <f>IFERROR( HLOOKUP(A469,CO2_thicknesses!$1:$2,2),0)</f>
        <v>-1.56510357650737</v>
      </c>
      <c r="F469" s="56">
        <f t="shared" ref="F469:F530" si="38">F468+1</f>
        <v>-61</v>
      </c>
      <c r="G469" s="57" t="str">
        <f t="shared" ref="G469:G530" si="39">IF(C468&lt;&gt;C469,C469,"")</f>
        <v/>
      </c>
      <c r="H469" s="58"/>
    </row>
    <row r="470" spans="1:8">
      <c r="A470" s="52">
        <f t="shared" si="36"/>
        <v>450000</v>
      </c>
      <c r="B470" s="53">
        <f t="shared" si="37"/>
        <v>150</v>
      </c>
      <c r="C470" s="54" t="str">
        <f t="shared" si="35"/>
        <v>H2O</v>
      </c>
      <c r="D470" s="55">
        <f>IFERROR( HLOOKUP(A470,H2O_thicknesses!$1:$2,2, 0),0)</f>
        <v>0.24807319297323199</v>
      </c>
      <c r="E470" s="55">
        <f>IFERROR( HLOOKUP(A470,CO2_thicknesses!$1:$2,2),0)</f>
        <v>-1.56510357650737</v>
      </c>
      <c r="F470" s="56">
        <f t="shared" si="38"/>
        <v>-60</v>
      </c>
      <c r="G470" s="57" t="str">
        <f t="shared" si="39"/>
        <v/>
      </c>
      <c r="H470" s="58"/>
    </row>
    <row r="471" spans="1:8">
      <c r="A471" s="52">
        <f t="shared" si="36"/>
        <v>451000</v>
      </c>
      <c r="B471" s="53">
        <f t="shared" si="37"/>
        <v>150</v>
      </c>
      <c r="C471" s="54" t="str">
        <f t="shared" si="35"/>
        <v>H2O</v>
      </c>
      <c r="D471" s="55">
        <f>IFERROR( HLOOKUP(A471,H2O_thicknesses!$1:$2,2, 0),0)</f>
        <v>0.242154561419647</v>
      </c>
      <c r="E471" s="55">
        <f>IFERROR( HLOOKUP(A471,CO2_thicknesses!$1:$2,2),0)</f>
        <v>-1.56510357650737</v>
      </c>
      <c r="F471" s="56">
        <f t="shared" si="38"/>
        <v>-59</v>
      </c>
      <c r="G471" s="57" t="str">
        <f t="shared" si="39"/>
        <v/>
      </c>
      <c r="H471" s="58"/>
    </row>
    <row r="472" spans="1:8">
      <c r="A472" s="52">
        <f t="shared" si="36"/>
        <v>452000</v>
      </c>
      <c r="B472" s="53">
        <f t="shared" si="37"/>
        <v>150</v>
      </c>
      <c r="C472" s="54" t="str">
        <f t="shared" si="35"/>
        <v>H2O</v>
      </c>
      <c r="D472" s="55">
        <f>IFERROR( HLOOKUP(A472,H2O_thicknesses!$1:$2,2, 0),0)</f>
        <v>0.218287762050174</v>
      </c>
      <c r="E472" s="55">
        <f>IFERROR( HLOOKUP(A472,CO2_thicknesses!$1:$2,2),0)</f>
        <v>-1.56510357650737</v>
      </c>
      <c r="F472" s="56">
        <f t="shared" si="38"/>
        <v>-58</v>
      </c>
      <c r="G472" s="57" t="str">
        <f t="shared" si="39"/>
        <v/>
      </c>
      <c r="H472" s="58"/>
    </row>
    <row r="473" spans="1:8">
      <c r="A473" s="52">
        <f t="shared" si="36"/>
        <v>453000</v>
      </c>
      <c r="B473" s="53">
        <f t="shared" si="37"/>
        <v>150</v>
      </c>
      <c r="C473" s="54" t="str">
        <f t="shared" si="35"/>
        <v>CO2</v>
      </c>
      <c r="D473" s="55">
        <f>IFERROR( HLOOKUP(A473,H2O_thicknesses!$1:$2,2, 0),0)</f>
        <v>0</v>
      </c>
      <c r="E473" s="55">
        <f>IFERROR( HLOOKUP(A473,CO2_thicknesses!$1:$2,2),0)</f>
        <v>-1.56510357650737</v>
      </c>
      <c r="F473" s="56">
        <f t="shared" si="38"/>
        <v>-57</v>
      </c>
      <c r="G473" s="57" t="str">
        <f t="shared" si="39"/>
        <v>CO2</v>
      </c>
      <c r="H473" s="58"/>
    </row>
    <row r="474" spans="1:8">
      <c r="A474" s="52">
        <f t="shared" si="36"/>
        <v>454000</v>
      </c>
      <c r="B474" s="53">
        <f t="shared" si="37"/>
        <v>150</v>
      </c>
      <c r="C474" s="54" t="str">
        <f t="shared" si="35"/>
        <v>CO2</v>
      </c>
      <c r="D474" s="55">
        <f>IFERROR( HLOOKUP(A474,H2O_thicknesses!$1:$2,2, 0),0)</f>
        <v>0</v>
      </c>
      <c r="E474" s="55">
        <f>IFERROR( HLOOKUP(A474,CO2_thicknesses!$1:$2,2),0)</f>
        <v>-1.56510357650737</v>
      </c>
      <c r="F474" s="56">
        <f t="shared" si="38"/>
        <v>-56</v>
      </c>
      <c r="G474" s="57" t="str">
        <f t="shared" si="39"/>
        <v/>
      </c>
      <c r="H474" s="58"/>
    </row>
    <row r="475" spans="1:8">
      <c r="A475" s="52">
        <f t="shared" si="36"/>
        <v>455000</v>
      </c>
      <c r="B475" s="53">
        <f t="shared" si="37"/>
        <v>150</v>
      </c>
      <c r="C475" s="54" t="str">
        <f t="shared" si="35"/>
        <v>CO2</v>
      </c>
      <c r="D475" s="55">
        <f>IFERROR( HLOOKUP(A475,H2O_thicknesses!$1:$2,2, 0),0)</f>
        <v>0</v>
      </c>
      <c r="E475" s="55">
        <f>IFERROR( HLOOKUP(A475,CO2_thicknesses!$1:$2,2),0)</f>
        <v>-1.56510357650737</v>
      </c>
      <c r="F475" s="56">
        <f t="shared" si="38"/>
        <v>-55</v>
      </c>
      <c r="G475" s="57" t="str">
        <f t="shared" si="39"/>
        <v/>
      </c>
      <c r="H475" s="58"/>
    </row>
    <row r="476" spans="1:8">
      <c r="A476" s="52">
        <f t="shared" si="36"/>
        <v>456000</v>
      </c>
      <c r="B476" s="53">
        <f t="shared" si="37"/>
        <v>150</v>
      </c>
      <c r="C476" s="54" t="str">
        <f t="shared" si="35"/>
        <v>CO2</v>
      </c>
      <c r="D476" s="55">
        <f>IFERROR( HLOOKUP(A476,H2O_thicknesses!$1:$2,2, 0),0)</f>
        <v>0</v>
      </c>
      <c r="E476" s="55">
        <f>IFERROR( HLOOKUP(A476,CO2_thicknesses!$1:$2,2),0)</f>
        <v>-1.56510357650737</v>
      </c>
      <c r="F476" s="56">
        <f t="shared" si="38"/>
        <v>-54</v>
      </c>
      <c r="G476" s="57" t="str">
        <f t="shared" si="39"/>
        <v/>
      </c>
      <c r="H476" s="58"/>
    </row>
    <row r="477" spans="1:8">
      <c r="A477" s="52">
        <f t="shared" si="36"/>
        <v>457000</v>
      </c>
      <c r="B477" s="53">
        <f t="shared" si="37"/>
        <v>150</v>
      </c>
      <c r="C477" s="54" t="str">
        <f t="shared" si="35"/>
        <v>CO2</v>
      </c>
      <c r="D477" s="55">
        <f>IFERROR( HLOOKUP(A477,H2O_thicknesses!$1:$2,2, 0),0)</f>
        <v>0</v>
      </c>
      <c r="E477" s="55">
        <f>IFERROR( HLOOKUP(A477,CO2_thicknesses!$1:$2,2),0)</f>
        <v>-1.56510357650737</v>
      </c>
      <c r="F477" s="56">
        <f t="shared" si="38"/>
        <v>-53</v>
      </c>
      <c r="G477" s="57" t="str">
        <f t="shared" si="39"/>
        <v/>
      </c>
      <c r="H477" s="58"/>
    </row>
    <row r="478" spans="1:8">
      <c r="A478" s="52">
        <f t="shared" si="36"/>
        <v>458000</v>
      </c>
      <c r="B478" s="53">
        <f t="shared" si="37"/>
        <v>150</v>
      </c>
      <c r="C478" s="54" t="str">
        <f t="shared" si="35"/>
        <v>CO2</v>
      </c>
      <c r="D478" s="55">
        <f>IFERROR( HLOOKUP(A478,H2O_thicknesses!$1:$2,2, 0),0)</f>
        <v>0</v>
      </c>
      <c r="E478" s="55">
        <f>IFERROR( HLOOKUP(A478,CO2_thicknesses!$1:$2,2),0)</f>
        <v>-1.56510357650737</v>
      </c>
      <c r="F478" s="56">
        <f t="shared" si="38"/>
        <v>-52</v>
      </c>
      <c r="G478" s="57" t="str">
        <f t="shared" si="39"/>
        <v/>
      </c>
      <c r="H478" s="58"/>
    </row>
    <row r="479" spans="1:8">
      <c r="A479" s="52">
        <f t="shared" si="36"/>
        <v>459000</v>
      </c>
      <c r="B479" s="53">
        <f t="shared" si="37"/>
        <v>150</v>
      </c>
      <c r="C479" s="54" t="str">
        <f t="shared" si="35"/>
        <v>CO2</v>
      </c>
      <c r="D479" s="55">
        <f>IFERROR( HLOOKUP(A479,H2O_thicknesses!$1:$2,2, 0),0)</f>
        <v>0</v>
      </c>
      <c r="E479" s="55">
        <f>IFERROR( HLOOKUP(A479,CO2_thicknesses!$1:$2,2),0)</f>
        <v>-1.56510357650737</v>
      </c>
      <c r="F479" s="56">
        <f t="shared" si="38"/>
        <v>-51</v>
      </c>
      <c r="G479" s="57" t="str">
        <f t="shared" si="39"/>
        <v/>
      </c>
      <c r="H479" s="58"/>
    </row>
    <row r="480" spans="1:8">
      <c r="A480" s="52">
        <f t="shared" si="36"/>
        <v>460000</v>
      </c>
      <c r="B480" s="53">
        <f t="shared" si="37"/>
        <v>150</v>
      </c>
      <c r="C480" s="54" t="str">
        <f t="shared" si="35"/>
        <v>CO2</v>
      </c>
      <c r="D480" s="55">
        <f>IFERROR( HLOOKUP(A480,H2O_thicknesses!$1:$2,2, 0),0)</f>
        <v>0</v>
      </c>
      <c r="E480" s="55">
        <f>IFERROR( HLOOKUP(A480,CO2_thicknesses!$1:$2,2),0)</f>
        <v>-1.56510357650737</v>
      </c>
      <c r="F480" s="56">
        <f t="shared" si="38"/>
        <v>-50</v>
      </c>
      <c r="G480" s="57" t="str">
        <f t="shared" si="39"/>
        <v/>
      </c>
      <c r="H480" s="58"/>
    </row>
    <row r="481" spans="1:8">
      <c r="A481" s="52">
        <f t="shared" si="36"/>
        <v>461000</v>
      </c>
      <c r="B481" s="53">
        <f t="shared" si="37"/>
        <v>150</v>
      </c>
      <c r="C481" s="54" t="str">
        <f t="shared" si="35"/>
        <v>CO2</v>
      </c>
      <c r="D481" s="55">
        <f>IFERROR( HLOOKUP(A481,H2O_thicknesses!$1:$2,2, 0),0)</f>
        <v>0</v>
      </c>
      <c r="E481" s="55">
        <f>IFERROR( HLOOKUP(A481,CO2_thicknesses!$1:$2,2),0)</f>
        <v>-1.56510357650737</v>
      </c>
      <c r="F481" s="56">
        <f t="shared" si="38"/>
        <v>-49</v>
      </c>
      <c r="G481" s="57" t="str">
        <f t="shared" si="39"/>
        <v/>
      </c>
      <c r="H481" s="58"/>
    </row>
    <row r="482" spans="1:8">
      <c r="A482" s="52">
        <f t="shared" si="36"/>
        <v>462000</v>
      </c>
      <c r="B482" s="53">
        <f t="shared" si="37"/>
        <v>150</v>
      </c>
      <c r="C482" s="54" t="str">
        <f t="shared" si="35"/>
        <v>CO2</v>
      </c>
      <c r="D482" s="55">
        <f>IFERROR( HLOOKUP(A482,H2O_thicknesses!$1:$2,2, 0),0)</f>
        <v>0</v>
      </c>
      <c r="E482" s="55">
        <f>IFERROR( HLOOKUP(A482,CO2_thicknesses!$1:$2,2),0)</f>
        <v>-1.56510357650737</v>
      </c>
      <c r="F482" s="56">
        <f t="shared" si="38"/>
        <v>-48</v>
      </c>
      <c r="G482" s="57" t="str">
        <f t="shared" si="39"/>
        <v/>
      </c>
      <c r="H482" s="58"/>
    </row>
    <row r="483" spans="1:8">
      <c r="A483" s="52">
        <f t="shared" si="36"/>
        <v>463000</v>
      </c>
      <c r="B483" s="53">
        <f t="shared" si="37"/>
        <v>150</v>
      </c>
      <c r="C483" s="54" t="str">
        <f t="shared" si="35"/>
        <v>CO2</v>
      </c>
      <c r="D483" s="55">
        <f>IFERROR( HLOOKUP(A483,H2O_thicknesses!$1:$2,2, 0),0)</f>
        <v>0</v>
      </c>
      <c r="E483" s="55">
        <f>IFERROR( HLOOKUP(A483,CO2_thicknesses!$1:$2,2),0)</f>
        <v>-1.56510357650737</v>
      </c>
      <c r="F483" s="56">
        <f t="shared" si="38"/>
        <v>-47</v>
      </c>
      <c r="G483" s="57" t="str">
        <f t="shared" si="39"/>
        <v/>
      </c>
      <c r="H483" s="58"/>
    </row>
    <row r="484" spans="1:8">
      <c r="A484" s="52">
        <f t="shared" si="36"/>
        <v>464000</v>
      </c>
      <c r="B484" s="53">
        <f t="shared" si="37"/>
        <v>150</v>
      </c>
      <c r="C484" s="54" t="str">
        <f t="shared" si="35"/>
        <v>CO2</v>
      </c>
      <c r="D484" s="55">
        <f>IFERROR( HLOOKUP(A484,H2O_thicknesses!$1:$2,2, 0),0)</f>
        <v>0</v>
      </c>
      <c r="E484" s="55">
        <f>IFERROR( HLOOKUP(A484,CO2_thicknesses!$1:$2,2),0)</f>
        <v>-1.56510357650737</v>
      </c>
      <c r="F484" s="56">
        <f t="shared" si="38"/>
        <v>-46</v>
      </c>
      <c r="G484" s="57" t="str">
        <f t="shared" si="39"/>
        <v/>
      </c>
      <c r="H484" s="58"/>
    </row>
    <row r="485" spans="1:8">
      <c r="A485" s="52">
        <f t="shared" si="36"/>
        <v>465000</v>
      </c>
      <c r="B485" s="53">
        <f t="shared" si="37"/>
        <v>150</v>
      </c>
      <c r="C485" s="54" t="str">
        <f t="shared" si="35"/>
        <v>CO2</v>
      </c>
      <c r="D485" s="55">
        <f>IFERROR( HLOOKUP(A485,H2O_thicknesses!$1:$2,2, 0),0)</f>
        <v>0</v>
      </c>
      <c r="E485" s="55">
        <f>IFERROR( HLOOKUP(A485,CO2_thicknesses!$1:$2,2),0)</f>
        <v>-1.56510357650737</v>
      </c>
      <c r="F485" s="56">
        <f t="shared" si="38"/>
        <v>-45</v>
      </c>
      <c r="G485" s="57" t="str">
        <f t="shared" si="39"/>
        <v/>
      </c>
      <c r="H485" s="58"/>
    </row>
    <row r="486" spans="1:8">
      <c r="A486" s="52">
        <f t="shared" si="36"/>
        <v>466000</v>
      </c>
      <c r="B486" s="53">
        <f t="shared" si="37"/>
        <v>150</v>
      </c>
      <c r="C486" s="54" t="str">
        <f t="shared" si="35"/>
        <v>CO2</v>
      </c>
      <c r="D486" s="55">
        <f>IFERROR( HLOOKUP(A486,H2O_thicknesses!$1:$2,2, 0),0)</f>
        <v>0</v>
      </c>
      <c r="E486" s="55">
        <f>IFERROR( HLOOKUP(A486,CO2_thicknesses!$1:$2,2),0)</f>
        <v>-1.56510357650737</v>
      </c>
      <c r="F486" s="56">
        <f t="shared" si="38"/>
        <v>-44</v>
      </c>
      <c r="G486" s="57" t="str">
        <f t="shared" si="39"/>
        <v/>
      </c>
      <c r="H486" s="58"/>
    </row>
    <row r="487" spans="1:8">
      <c r="A487" s="52">
        <f t="shared" si="36"/>
        <v>467000</v>
      </c>
      <c r="B487" s="53">
        <f t="shared" si="37"/>
        <v>150</v>
      </c>
      <c r="C487" s="54" t="str">
        <f t="shared" si="35"/>
        <v>CO2</v>
      </c>
      <c r="D487" s="55">
        <f>IFERROR( HLOOKUP(A487,H2O_thicknesses!$1:$2,2, 0),0)</f>
        <v>0</v>
      </c>
      <c r="E487" s="55">
        <f>IFERROR( HLOOKUP(A487,CO2_thicknesses!$1:$2,2),0)</f>
        <v>-1.56510357650737</v>
      </c>
      <c r="F487" s="56">
        <f t="shared" si="38"/>
        <v>-43</v>
      </c>
      <c r="G487" s="57" t="str">
        <f t="shared" si="39"/>
        <v/>
      </c>
      <c r="H487" s="58"/>
    </row>
    <row r="488" spans="1:8">
      <c r="A488" s="52">
        <f t="shared" si="36"/>
        <v>468000</v>
      </c>
      <c r="B488" s="53">
        <f t="shared" si="37"/>
        <v>150</v>
      </c>
      <c r="C488" s="54" t="str">
        <f t="shared" si="35"/>
        <v>CO2</v>
      </c>
      <c r="D488" s="55">
        <f>IFERROR( HLOOKUP(A488,H2O_thicknesses!$1:$2,2, 0),0)</f>
        <v>0</v>
      </c>
      <c r="E488" s="55">
        <f>IFERROR( HLOOKUP(A488,CO2_thicknesses!$1:$2,2),0)</f>
        <v>-1.56510357650737</v>
      </c>
      <c r="F488" s="56">
        <f t="shared" si="38"/>
        <v>-42</v>
      </c>
      <c r="G488" s="57" t="str">
        <f t="shared" si="39"/>
        <v/>
      </c>
      <c r="H488" s="58"/>
    </row>
    <row r="489" spans="1:8">
      <c r="A489" s="52">
        <f t="shared" si="36"/>
        <v>469000</v>
      </c>
      <c r="B489" s="53">
        <f t="shared" si="37"/>
        <v>150</v>
      </c>
      <c r="C489" s="54" t="str">
        <f t="shared" si="35"/>
        <v>CO2</v>
      </c>
      <c r="D489" s="55">
        <f>IFERROR( HLOOKUP(A489,H2O_thicknesses!$1:$2,2, 0),0)</f>
        <v>0</v>
      </c>
      <c r="E489" s="55">
        <f>IFERROR( HLOOKUP(A489,CO2_thicknesses!$1:$2,2),0)</f>
        <v>-1.56510357650737</v>
      </c>
      <c r="F489" s="56">
        <f t="shared" si="38"/>
        <v>-41</v>
      </c>
      <c r="G489" s="57" t="str">
        <f t="shared" si="39"/>
        <v/>
      </c>
      <c r="H489" s="58"/>
    </row>
    <row r="490" spans="1:8">
      <c r="A490" s="52">
        <f t="shared" si="36"/>
        <v>470000</v>
      </c>
      <c r="B490" s="53">
        <f t="shared" si="37"/>
        <v>150</v>
      </c>
      <c r="C490" s="54" t="str">
        <f t="shared" si="35"/>
        <v>CO2</v>
      </c>
      <c r="D490" s="55">
        <f>IFERROR( HLOOKUP(A490,H2O_thicknesses!$1:$2,2, 0),0)</f>
        <v>0</v>
      </c>
      <c r="E490" s="55">
        <f>IFERROR( HLOOKUP(A490,CO2_thicknesses!$1:$2,2),0)</f>
        <v>-1.56510357650737</v>
      </c>
      <c r="F490" s="56">
        <f t="shared" si="38"/>
        <v>-40</v>
      </c>
      <c r="G490" s="57" t="str">
        <f t="shared" si="39"/>
        <v/>
      </c>
      <c r="H490" s="58"/>
    </row>
    <row r="491" spans="1:8">
      <c r="A491" s="52">
        <f t="shared" si="36"/>
        <v>471000</v>
      </c>
      <c r="B491" s="53">
        <f t="shared" si="37"/>
        <v>150</v>
      </c>
      <c r="C491" s="54" t="str">
        <f t="shared" si="35"/>
        <v>CO2</v>
      </c>
      <c r="D491" s="55">
        <f>IFERROR( HLOOKUP(A491,H2O_thicknesses!$1:$2,2, 0),0)</f>
        <v>0</v>
      </c>
      <c r="E491" s="55">
        <f>IFERROR( HLOOKUP(A491,CO2_thicknesses!$1:$2,2),0)</f>
        <v>-1.56510357650737</v>
      </c>
      <c r="F491" s="56">
        <f t="shared" si="38"/>
        <v>-39</v>
      </c>
      <c r="G491" s="57" t="str">
        <f t="shared" si="39"/>
        <v/>
      </c>
      <c r="H491" s="58"/>
    </row>
    <row r="492" spans="1:8">
      <c r="A492" s="52">
        <f t="shared" si="36"/>
        <v>472000</v>
      </c>
      <c r="B492" s="53">
        <f t="shared" si="37"/>
        <v>150</v>
      </c>
      <c r="C492" s="54" t="str">
        <f t="shared" si="35"/>
        <v>CO2</v>
      </c>
      <c r="D492" s="55">
        <f>IFERROR( HLOOKUP(A492,H2O_thicknesses!$1:$2,2, 0),0)</f>
        <v>0</v>
      </c>
      <c r="E492" s="55">
        <f>IFERROR( HLOOKUP(A492,CO2_thicknesses!$1:$2,2),0)</f>
        <v>-1.56510357650737</v>
      </c>
      <c r="F492" s="56">
        <f t="shared" si="38"/>
        <v>-38</v>
      </c>
      <c r="G492" s="57" t="str">
        <f t="shared" si="39"/>
        <v/>
      </c>
      <c r="H492" s="58"/>
    </row>
    <row r="493" spans="1:8">
      <c r="A493" s="52">
        <f t="shared" si="36"/>
        <v>473000</v>
      </c>
      <c r="B493" s="53">
        <f t="shared" si="37"/>
        <v>150</v>
      </c>
      <c r="C493" s="54" t="str">
        <f t="shared" si="35"/>
        <v>CO2</v>
      </c>
      <c r="D493" s="55">
        <f>IFERROR( HLOOKUP(A493,H2O_thicknesses!$1:$2,2, 0),0)</f>
        <v>0</v>
      </c>
      <c r="E493" s="55">
        <f>IFERROR( HLOOKUP(A493,CO2_thicknesses!$1:$2,2),0)</f>
        <v>-1.56510357650737</v>
      </c>
      <c r="F493" s="56">
        <f t="shared" si="38"/>
        <v>-37</v>
      </c>
      <c r="G493" s="57" t="str">
        <f t="shared" si="39"/>
        <v/>
      </c>
      <c r="H493" s="58"/>
    </row>
    <row r="494" spans="1:8">
      <c r="A494" s="52">
        <f t="shared" si="36"/>
        <v>474000</v>
      </c>
      <c r="B494" s="53">
        <f t="shared" si="37"/>
        <v>150</v>
      </c>
      <c r="C494" s="54" t="str">
        <f t="shared" si="35"/>
        <v>CO2</v>
      </c>
      <c r="D494" s="55">
        <f>IFERROR( HLOOKUP(A494,H2O_thicknesses!$1:$2,2, 0),0)</f>
        <v>0</v>
      </c>
      <c r="E494" s="55">
        <f>IFERROR( HLOOKUP(A494,CO2_thicknesses!$1:$2,2),0)</f>
        <v>-1.56510357650737</v>
      </c>
      <c r="F494" s="56">
        <f t="shared" si="38"/>
        <v>-36</v>
      </c>
      <c r="G494" s="57" t="str">
        <f t="shared" si="39"/>
        <v/>
      </c>
      <c r="H494" s="58"/>
    </row>
    <row r="495" spans="1:8">
      <c r="A495" s="52">
        <f t="shared" si="36"/>
        <v>475000</v>
      </c>
      <c r="B495" s="53">
        <f t="shared" si="37"/>
        <v>150</v>
      </c>
      <c r="C495" s="54" t="str">
        <f t="shared" si="35"/>
        <v>CO2</v>
      </c>
      <c r="D495" s="55">
        <f>IFERROR( HLOOKUP(A495,H2O_thicknesses!$1:$2,2, 0),0)</f>
        <v>0</v>
      </c>
      <c r="E495" s="55">
        <f>IFERROR( HLOOKUP(A495,CO2_thicknesses!$1:$2,2),0)</f>
        <v>-1.56510357650737</v>
      </c>
      <c r="F495" s="56">
        <f t="shared" si="38"/>
        <v>-35</v>
      </c>
      <c r="G495" s="57" t="str">
        <f t="shared" si="39"/>
        <v/>
      </c>
      <c r="H495" s="58"/>
    </row>
    <row r="496" spans="1:8">
      <c r="A496" s="52">
        <f t="shared" si="36"/>
        <v>476000</v>
      </c>
      <c r="B496" s="53">
        <f t="shared" si="37"/>
        <v>150</v>
      </c>
      <c r="C496" s="54" t="str">
        <f t="shared" si="35"/>
        <v>CO2</v>
      </c>
      <c r="D496" s="55">
        <f>IFERROR( HLOOKUP(A496,H2O_thicknesses!$1:$2,2, 0),0)</f>
        <v>0</v>
      </c>
      <c r="E496" s="55">
        <f>IFERROR( HLOOKUP(A496,CO2_thicknesses!$1:$2,2),0)</f>
        <v>-1.56510357650737</v>
      </c>
      <c r="F496" s="56">
        <f t="shared" si="38"/>
        <v>-34</v>
      </c>
      <c r="G496" s="57" t="str">
        <f t="shared" si="39"/>
        <v/>
      </c>
      <c r="H496" s="58"/>
    </row>
    <row r="497" spans="1:8">
      <c r="A497" s="52">
        <f t="shared" si="36"/>
        <v>477000</v>
      </c>
      <c r="B497" s="53">
        <f t="shared" si="37"/>
        <v>150</v>
      </c>
      <c r="C497" s="54" t="str">
        <f t="shared" si="35"/>
        <v>CO2</v>
      </c>
      <c r="D497" s="55">
        <f>IFERROR( HLOOKUP(A497,H2O_thicknesses!$1:$2,2, 0),0)</f>
        <v>0</v>
      </c>
      <c r="E497" s="55">
        <f>IFERROR( HLOOKUP(A497,CO2_thicknesses!$1:$2,2),0)</f>
        <v>-1.56510357650737</v>
      </c>
      <c r="F497" s="56">
        <f t="shared" si="38"/>
        <v>-33</v>
      </c>
      <c r="G497" s="57" t="str">
        <f t="shared" si="39"/>
        <v/>
      </c>
      <c r="H497" s="58"/>
    </row>
    <row r="498" spans="1:8">
      <c r="A498" s="52">
        <f t="shared" si="36"/>
        <v>478000</v>
      </c>
      <c r="B498" s="53">
        <f t="shared" si="37"/>
        <v>150</v>
      </c>
      <c r="C498" s="54" t="str">
        <f t="shared" si="35"/>
        <v>CO2</v>
      </c>
      <c r="D498" s="55">
        <f>IFERROR( HLOOKUP(A498,H2O_thicknesses!$1:$2,2, 0),0)</f>
        <v>0</v>
      </c>
      <c r="E498" s="55">
        <f>IFERROR( HLOOKUP(A498,CO2_thicknesses!$1:$2,2),0)</f>
        <v>-1.56510357650737</v>
      </c>
      <c r="F498" s="56">
        <f t="shared" si="38"/>
        <v>-32</v>
      </c>
      <c r="G498" s="57" t="str">
        <f t="shared" si="39"/>
        <v/>
      </c>
      <c r="H498" s="58"/>
    </row>
    <row r="499" spans="1:8">
      <c r="A499" s="52">
        <f t="shared" si="36"/>
        <v>479000</v>
      </c>
      <c r="B499" s="53">
        <f t="shared" si="37"/>
        <v>150</v>
      </c>
      <c r="C499" s="54" t="str">
        <f t="shared" si="35"/>
        <v>CO2</v>
      </c>
      <c r="D499" s="55">
        <f>IFERROR( HLOOKUP(A499,H2O_thicknesses!$1:$2,2, 0),0)</f>
        <v>0</v>
      </c>
      <c r="E499" s="55">
        <f>IFERROR( HLOOKUP(A499,CO2_thicknesses!$1:$2,2),0)</f>
        <v>-1.56510357650737</v>
      </c>
      <c r="F499" s="56">
        <f t="shared" si="38"/>
        <v>-31</v>
      </c>
      <c r="G499" s="57" t="str">
        <f t="shared" si="39"/>
        <v/>
      </c>
      <c r="H499" s="58"/>
    </row>
    <row r="500" spans="1:8">
      <c r="A500" s="52">
        <f t="shared" si="36"/>
        <v>480000</v>
      </c>
      <c r="B500" s="53">
        <f t="shared" si="37"/>
        <v>150</v>
      </c>
      <c r="C500" s="54" t="str">
        <f t="shared" si="35"/>
        <v>CO2</v>
      </c>
      <c r="D500" s="55">
        <f>IFERROR( HLOOKUP(A500,H2O_thicknesses!$1:$2,2, 0),0)</f>
        <v>0</v>
      </c>
      <c r="E500" s="55">
        <f>IFERROR( HLOOKUP(A500,CO2_thicknesses!$1:$2,2),0)</f>
        <v>-1.56510357650737</v>
      </c>
      <c r="F500" s="56">
        <f t="shared" si="38"/>
        <v>-30</v>
      </c>
      <c r="G500" s="57" t="str">
        <f t="shared" si="39"/>
        <v/>
      </c>
      <c r="H500" s="58"/>
    </row>
    <row r="501" spans="1:8">
      <c r="A501" s="52">
        <f t="shared" si="36"/>
        <v>481000</v>
      </c>
      <c r="B501" s="53">
        <f t="shared" si="37"/>
        <v>150</v>
      </c>
      <c r="C501" s="54" t="str">
        <f t="shared" si="35"/>
        <v>CO2</v>
      </c>
      <c r="D501" s="55">
        <f>IFERROR( HLOOKUP(A501,H2O_thicknesses!$1:$2,2, 0),0)</f>
        <v>0</v>
      </c>
      <c r="E501" s="55">
        <f>IFERROR( HLOOKUP(A501,CO2_thicknesses!$1:$2,2),0)</f>
        <v>-1.56510357650737</v>
      </c>
      <c r="F501" s="56">
        <f t="shared" si="38"/>
        <v>-29</v>
      </c>
      <c r="G501" s="57" t="str">
        <f t="shared" si="39"/>
        <v/>
      </c>
      <c r="H501" s="58"/>
    </row>
    <row r="502" spans="1:8">
      <c r="A502" s="52">
        <f t="shared" si="36"/>
        <v>482000</v>
      </c>
      <c r="B502" s="53">
        <f t="shared" si="37"/>
        <v>150</v>
      </c>
      <c r="C502" s="54" t="str">
        <f t="shared" si="35"/>
        <v>CO2</v>
      </c>
      <c r="D502" s="55">
        <f>IFERROR( HLOOKUP(A502,H2O_thicknesses!$1:$2,2, 0),0)</f>
        <v>0</v>
      </c>
      <c r="E502" s="55">
        <f>IFERROR( HLOOKUP(A502,CO2_thicknesses!$1:$2,2),0)</f>
        <v>-1.56510357650737</v>
      </c>
      <c r="F502" s="56">
        <f t="shared" si="38"/>
        <v>-28</v>
      </c>
      <c r="G502" s="57" t="str">
        <f t="shared" si="39"/>
        <v/>
      </c>
      <c r="H502" s="58"/>
    </row>
    <row r="503" spans="1:8">
      <c r="A503" s="52">
        <f t="shared" si="36"/>
        <v>483000</v>
      </c>
      <c r="B503" s="53">
        <f t="shared" si="37"/>
        <v>150</v>
      </c>
      <c r="C503" s="54" t="str">
        <f t="shared" si="35"/>
        <v>CO2</v>
      </c>
      <c r="D503" s="55">
        <f>IFERROR( HLOOKUP(A503,H2O_thicknesses!$1:$2,2, 0),0)</f>
        <v>0</v>
      </c>
      <c r="E503" s="55">
        <f>IFERROR( HLOOKUP(A503,CO2_thicknesses!$1:$2,2),0)</f>
        <v>-1.56510357650737</v>
      </c>
      <c r="F503" s="56">
        <f t="shared" si="38"/>
        <v>-27</v>
      </c>
      <c r="G503" s="57" t="str">
        <f t="shared" si="39"/>
        <v/>
      </c>
      <c r="H503" s="58"/>
    </row>
    <row r="504" spans="1:8">
      <c r="A504" s="52">
        <f t="shared" si="36"/>
        <v>484000</v>
      </c>
      <c r="B504" s="53">
        <f t="shared" si="37"/>
        <v>150</v>
      </c>
      <c r="C504" s="54" t="str">
        <f t="shared" si="35"/>
        <v>CO2</v>
      </c>
      <c r="D504" s="55">
        <f>IFERROR( HLOOKUP(A504,H2O_thicknesses!$1:$2,2, 0),0)</f>
        <v>0</v>
      </c>
      <c r="E504" s="55">
        <f>IFERROR( HLOOKUP(A504,CO2_thicknesses!$1:$2,2),0)</f>
        <v>-1.56510357650737</v>
      </c>
      <c r="F504" s="56">
        <f t="shared" si="38"/>
        <v>-26</v>
      </c>
      <c r="G504" s="57" t="str">
        <f t="shared" si="39"/>
        <v/>
      </c>
      <c r="H504" s="58"/>
    </row>
    <row r="505" spans="1:8">
      <c r="A505" s="52">
        <f t="shared" si="36"/>
        <v>485000</v>
      </c>
      <c r="B505" s="53">
        <f t="shared" si="37"/>
        <v>150</v>
      </c>
      <c r="C505" s="54" t="str">
        <f t="shared" si="35"/>
        <v>CO2</v>
      </c>
      <c r="D505" s="55">
        <f>IFERROR( HLOOKUP(A505,H2O_thicknesses!$1:$2,2, 0),0)</f>
        <v>0</v>
      </c>
      <c r="E505" s="55">
        <f>IFERROR( HLOOKUP(A505,CO2_thicknesses!$1:$2,2),0)</f>
        <v>-1.56510357650737</v>
      </c>
      <c r="F505" s="56">
        <f t="shared" si="38"/>
        <v>-25</v>
      </c>
      <c r="G505" s="57" t="str">
        <f t="shared" si="39"/>
        <v/>
      </c>
      <c r="H505" s="58"/>
    </row>
    <row r="506" spans="1:8">
      <c r="A506" s="52">
        <f t="shared" si="36"/>
        <v>486000</v>
      </c>
      <c r="B506" s="53">
        <f t="shared" si="37"/>
        <v>150</v>
      </c>
      <c r="C506" s="54" t="str">
        <f t="shared" si="35"/>
        <v>CO2</v>
      </c>
      <c r="D506" s="55">
        <f>IFERROR( HLOOKUP(A506,H2O_thicknesses!$1:$2,2, 0),0)</f>
        <v>0</v>
      </c>
      <c r="E506" s="55">
        <f>IFERROR( HLOOKUP(A506,CO2_thicknesses!$1:$2,2),0)</f>
        <v>-1.56510357650737</v>
      </c>
      <c r="F506" s="56">
        <f t="shared" si="38"/>
        <v>-24</v>
      </c>
      <c r="G506" s="57" t="str">
        <f t="shared" si="39"/>
        <v/>
      </c>
      <c r="H506" s="58"/>
    </row>
    <row r="507" spans="1:8">
      <c r="A507" s="52">
        <f t="shared" si="36"/>
        <v>487000</v>
      </c>
      <c r="B507" s="53">
        <f t="shared" si="37"/>
        <v>150</v>
      </c>
      <c r="C507" s="54" t="str">
        <f t="shared" si="35"/>
        <v>CO2</v>
      </c>
      <c r="D507" s="55">
        <f>IFERROR( HLOOKUP(A507,H2O_thicknesses!$1:$2,2, 0),0)</f>
        <v>0</v>
      </c>
      <c r="E507" s="55">
        <f>IFERROR( HLOOKUP(A507,CO2_thicknesses!$1:$2,2),0)</f>
        <v>-1.56510357650737</v>
      </c>
      <c r="F507" s="56">
        <f t="shared" si="38"/>
        <v>-23</v>
      </c>
      <c r="G507" s="57" t="str">
        <f t="shared" si="39"/>
        <v/>
      </c>
      <c r="H507" s="58"/>
    </row>
    <row r="508" spans="1:8">
      <c r="A508" s="52">
        <f t="shared" si="36"/>
        <v>488000</v>
      </c>
      <c r="B508" s="53">
        <f t="shared" si="37"/>
        <v>150</v>
      </c>
      <c r="C508" s="54" t="str">
        <f t="shared" si="35"/>
        <v>CO2</v>
      </c>
      <c r="D508" s="55">
        <f>IFERROR( HLOOKUP(A508,H2O_thicknesses!$1:$2,2, 0),0)</f>
        <v>0</v>
      </c>
      <c r="E508" s="55">
        <f>IFERROR( HLOOKUP(A508,CO2_thicknesses!$1:$2,2),0)</f>
        <v>-1.56510357650737</v>
      </c>
      <c r="F508" s="56">
        <f t="shared" si="38"/>
        <v>-22</v>
      </c>
      <c r="G508" s="57" t="str">
        <f t="shared" si="39"/>
        <v/>
      </c>
      <c r="H508" s="58"/>
    </row>
    <row r="509" spans="1:8">
      <c r="A509" s="52">
        <f t="shared" si="36"/>
        <v>489000</v>
      </c>
      <c r="B509" s="53">
        <f t="shared" si="37"/>
        <v>150</v>
      </c>
      <c r="C509" s="54" t="str">
        <f t="shared" si="35"/>
        <v>CO2</v>
      </c>
      <c r="D509" s="55">
        <f>IFERROR( HLOOKUP(A509,H2O_thicknesses!$1:$2,2, 0),0)</f>
        <v>0</v>
      </c>
      <c r="E509" s="55">
        <f>IFERROR( HLOOKUP(A509,CO2_thicknesses!$1:$2,2),0)</f>
        <v>-1.56510357650737</v>
      </c>
      <c r="F509" s="56">
        <f t="shared" si="38"/>
        <v>-21</v>
      </c>
      <c r="G509" s="57" t="str">
        <f t="shared" si="39"/>
        <v/>
      </c>
      <c r="H509" s="58"/>
    </row>
    <row r="510" spans="1:8">
      <c r="A510" s="52">
        <f t="shared" si="36"/>
        <v>490000</v>
      </c>
      <c r="B510" s="53">
        <f t="shared" si="37"/>
        <v>150</v>
      </c>
      <c r="C510" s="54" t="str">
        <f t="shared" si="35"/>
        <v>CO2</v>
      </c>
      <c r="D510" s="55">
        <f>IFERROR( HLOOKUP(A510,H2O_thicknesses!$1:$2,2, 0),0)</f>
        <v>0</v>
      </c>
      <c r="E510" s="55">
        <f>IFERROR( HLOOKUP(A510,CO2_thicknesses!$1:$2,2),0)</f>
        <v>-1.56510357650737</v>
      </c>
      <c r="F510" s="56">
        <f t="shared" si="38"/>
        <v>-20</v>
      </c>
      <c r="G510" s="57" t="str">
        <f t="shared" si="39"/>
        <v/>
      </c>
      <c r="H510" s="58"/>
    </row>
    <row r="511" spans="1:8">
      <c r="A511" s="52">
        <f t="shared" si="36"/>
        <v>491000</v>
      </c>
      <c r="B511" s="53">
        <f t="shared" si="37"/>
        <v>150</v>
      </c>
      <c r="C511" s="54" t="str">
        <f t="shared" si="35"/>
        <v>CO2</v>
      </c>
      <c r="D511" s="55">
        <f>IFERROR( HLOOKUP(A511,H2O_thicknesses!$1:$2,2, 0),0)</f>
        <v>0</v>
      </c>
      <c r="E511" s="55">
        <f>IFERROR( HLOOKUP(A511,CO2_thicknesses!$1:$2,2),0)</f>
        <v>-1.56510357650737</v>
      </c>
      <c r="F511" s="56">
        <f t="shared" si="38"/>
        <v>-19</v>
      </c>
      <c r="G511" s="57" t="str">
        <f t="shared" si="39"/>
        <v/>
      </c>
      <c r="H511" s="58"/>
    </row>
    <row r="512" spans="1:8">
      <c r="A512" s="52">
        <f t="shared" si="36"/>
        <v>492000</v>
      </c>
      <c r="B512" s="53">
        <f t="shared" si="37"/>
        <v>150</v>
      </c>
      <c r="C512" s="54" t="str">
        <f t="shared" si="35"/>
        <v>CO2</v>
      </c>
      <c r="D512" s="55">
        <f>IFERROR( HLOOKUP(A512,H2O_thicknesses!$1:$2,2, 0),0)</f>
        <v>0</v>
      </c>
      <c r="E512" s="55">
        <f>IFERROR( HLOOKUP(A512,CO2_thicknesses!$1:$2,2),0)</f>
        <v>-1.56510357650737</v>
      </c>
      <c r="F512" s="56">
        <f t="shared" si="38"/>
        <v>-18</v>
      </c>
      <c r="G512" s="57" t="str">
        <f t="shared" si="39"/>
        <v/>
      </c>
      <c r="H512" s="58"/>
    </row>
    <row r="513" spans="1:8">
      <c r="A513" s="52">
        <f t="shared" si="36"/>
        <v>493000</v>
      </c>
      <c r="B513" s="53">
        <f t="shared" si="37"/>
        <v>150</v>
      </c>
      <c r="C513" s="54" t="str">
        <f t="shared" si="35"/>
        <v>CO2</v>
      </c>
      <c r="D513" s="55">
        <f>IFERROR( HLOOKUP(A513,H2O_thicknesses!$1:$2,2, 0),0)</f>
        <v>0</v>
      </c>
      <c r="E513" s="55">
        <f>IFERROR( HLOOKUP(A513,CO2_thicknesses!$1:$2,2),0)</f>
        <v>-1.56510357650737</v>
      </c>
      <c r="F513" s="56">
        <f t="shared" si="38"/>
        <v>-17</v>
      </c>
      <c r="G513" s="57" t="str">
        <f t="shared" si="39"/>
        <v/>
      </c>
      <c r="H513" s="58"/>
    </row>
    <row r="514" spans="1:8">
      <c r="A514" s="52">
        <f t="shared" si="36"/>
        <v>494000</v>
      </c>
      <c r="B514" s="53">
        <f t="shared" si="37"/>
        <v>150</v>
      </c>
      <c r="C514" s="54" t="str">
        <f t="shared" si="35"/>
        <v>CO2</v>
      </c>
      <c r="D514" s="55">
        <f>IFERROR( HLOOKUP(A514,H2O_thicknesses!$1:$2,2, 0),0)</f>
        <v>0</v>
      </c>
      <c r="E514" s="55">
        <f>IFERROR( HLOOKUP(A514,CO2_thicknesses!$1:$2,2),0)</f>
        <v>-1.56510357650737</v>
      </c>
      <c r="F514" s="56">
        <f t="shared" si="38"/>
        <v>-16</v>
      </c>
      <c r="G514" s="57" t="str">
        <f t="shared" si="39"/>
        <v/>
      </c>
      <c r="H514" s="58"/>
    </row>
    <row r="515" spans="1:8">
      <c r="A515" s="52">
        <f t="shared" si="36"/>
        <v>495000</v>
      </c>
      <c r="B515" s="53">
        <f t="shared" si="37"/>
        <v>150</v>
      </c>
      <c r="C515" s="54" t="str">
        <f t="shared" si="35"/>
        <v>CO2</v>
      </c>
      <c r="D515" s="55">
        <f>IFERROR( HLOOKUP(A515,H2O_thicknesses!$1:$2,2, 0),0)</f>
        <v>0</v>
      </c>
      <c r="E515" s="55">
        <f>IFERROR( HLOOKUP(A515,CO2_thicknesses!$1:$2,2),0)</f>
        <v>-1.56510357650737</v>
      </c>
      <c r="F515" s="56">
        <f t="shared" si="38"/>
        <v>-15</v>
      </c>
      <c r="G515" s="57" t="str">
        <f t="shared" si="39"/>
        <v/>
      </c>
      <c r="H515" s="58"/>
    </row>
    <row r="516" spans="1:8">
      <c r="A516" s="52">
        <f t="shared" si="36"/>
        <v>496000</v>
      </c>
      <c r="B516" s="53">
        <f t="shared" si="37"/>
        <v>150</v>
      </c>
      <c r="C516" s="54" t="str">
        <f t="shared" si="35"/>
        <v>CO2</v>
      </c>
      <c r="D516" s="55">
        <f>IFERROR( HLOOKUP(A516,H2O_thicknesses!$1:$2,2, 0),0)</f>
        <v>0</v>
      </c>
      <c r="E516" s="55">
        <f>IFERROR( HLOOKUP(A516,CO2_thicknesses!$1:$2,2),0)</f>
        <v>-1.56510357650737</v>
      </c>
      <c r="F516" s="56">
        <f t="shared" si="38"/>
        <v>-14</v>
      </c>
      <c r="G516" s="57" t="str">
        <f t="shared" si="39"/>
        <v/>
      </c>
      <c r="H516" s="58"/>
    </row>
    <row r="517" spans="1:8">
      <c r="A517" s="52">
        <f t="shared" si="36"/>
        <v>497000</v>
      </c>
      <c r="B517" s="53">
        <f t="shared" si="37"/>
        <v>150</v>
      </c>
      <c r="C517" s="54" t="str">
        <f t="shared" si="35"/>
        <v>CO2</v>
      </c>
      <c r="D517" s="55">
        <f>IFERROR( HLOOKUP(A517,H2O_thicknesses!$1:$2,2, 0),0)</f>
        <v>0</v>
      </c>
      <c r="E517" s="55">
        <f>IFERROR( HLOOKUP(A517,CO2_thicknesses!$1:$2,2),0)</f>
        <v>-1.56510357650737</v>
      </c>
      <c r="F517" s="56">
        <f t="shared" si="38"/>
        <v>-13</v>
      </c>
      <c r="G517" s="57" t="str">
        <f t="shared" si="39"/>
        <v/>
      </c>
      <c r="H517" s="58"/>
    </row>
    <row r="518" spans="1:8">
      <c r="A518" s="52">
        <f t="shared" si="36"/>
        <v>498000</v>
      </c>
      <c r="B518" s="53">
        <f t="shared" si="37"/>
        <v>150</v>
      </c>
      <c r="C518" s="54" t="str">
        <f t="shared" si="35"/>
        <v>CO2</v>
      </c>
      <c r="D518" s="55">
        <f>IFERROR( HLOOKUP(A518,H2O_thicknesses!$1:$2,2, 0),0)</f>
        <v>0</v>
      </c>
      <c r="E518" s="55">
        <f>IFERROR( HLOOKUP(A518,CO2_thicknesses!$1:$2,2),0)</f>
        <v>-1.56510357650737</v>
      </c>
      <c r="F518" s="56">
        <f t="shared" si="38"/>
        <v>-12</v>
      </c>
      <c r="G518" s="57" t="str">
        <f t="shared" si="39"/>
        <v/>
      </c>
      <c r="H518" s="58"/>
    </row>
    <row r="519" spans="1:8">
      <c r="A519" s="52">
        <f t="shared" si="36"/>
        <v>499000</v>
      </c>
      <c r="B519" s="53">
        <f t="shared" si="37"/>
        <v>150</v>
      </c>
      <c r="C519" s="54" t="str">
        <f t="shared" si="35"/>
        <v>CO2</v>
      </c>
      <c r="D519" s="55">
        <f>IFERROR( HLOOKUP(A519,H2O_thicknesses!$1:$2,2, 0),0)</f>
        <v>0</v>
      </c>
      <c r="E519" s="55">
        <f>IFERROR( HLOOKUP(A519,CO2_thicknesses!$1:$2,2),0)</f>
        <v>-1.56510357650737</v>
      </c>
      <c r="F519" s="56">
        <f t="shared" si="38"/>
        <v>-11</v>
      </c>
      <c r="G519" s="57" t="str">
        <f t="shared" si="39"/>
        <v/>
      </c>
      <c r="H519" s="58"/>
    </row>
    <row r="520" spans="1:8">
      <c r="A520" s="52">
        <f t="shared" si="36"/>
        <v>500000</v>
      </c>
      <c r="B520" s="53">
        <f t="shared" si="37"/>
        <v>150</v>
      </c>
      <c r="C520" s="54" t="str">
        <f t="shared" si="35"/>
        <v>CO2</v>
      </c>
      <c r="D520" s="55">
        <f>IFERROR( HLOOKUP(A520,H2O_thicknesses!$1:$2,2, 0),0)</f>
        <v>0</v>
      </c>
      <c r="E520" s="55">
        <f>IFERROR( HLOOKUP(A520,CO2_thicknesses!$1:$2,2),0)</f>
        <v>-1.56510357650737</v>
      </c>
      <c r="F520" s="56">
        <f t="shared" si="38"/>
        <v>-10</v>
      </c>
      <c r="G520" s="57" t="str">
        <f t="shared" si="39"/>
        <v/>
      </c>
      <c r="H520" s="58"/>
    </row>
    <row r="521" spans="1:8">
      <c r="A521" s="52">
        <f t="shared" si="36"/>
        <v>501000</v>
      </c>
      <c r="B521" s="53">
        <f t="shared" si="37"/>
        <v>150</v>
      </c>
      <c r="C521" s="54" t="str">
        <f t="shared" si="35"/>
        <v>CO2</v>
      </c>
      <c r="D521" s="55">
        <f>IFERROR( HLOOKUP(A521,H2O_thicknesses!$1:$2,2, 0),0)</f>
        <v>0</v>
      </c>
      <c r="E521" s="55">
        <f>IFERROR( HLOOKUP(A521,CO2_thicknesses!$1:$2,2),0)</f>
        <v>-1.56510357650737</v>
      </c>
      <c r="F521" s="56">
        <f t="shared" si="38"/>
        <v>-9</v>
      </c>
      <c r="G521" s="57" t="str">
        <f t="shared" si="39"/>
        <v/>
      </c>
      <c r="H521" s="58"/>
    </row>
    <row r="522" spans="1:8">
      <c r="A522" s="52">
        <f t="shared" si="36"/>
        <v>502000</v>
      </c>
      <c r="B522" s="53">
        <f t="shared" si="37"/>
        <v>150</v>
      </c>
      <c r="C522" s="54" t="str">
        <f t="shared" si="35"/>
        <v>CO2</v>
      </c>
      <c r="D522" s="55">
        <f>IFERROR( HLOOKUP(A522,H2O_thicknesses!$1:$2,2, 0),0)</f>
        <v>0</v>
      </c>
      <c r="E522" s="55">
        <f>IFERROR( HLOOKUP(A522,CO2_thicknesses!$1:$2,2),0)</f>
        <v>-1.56510357650737</v>
      </c>
      <c r="F522" s="56">
        <f t="shared" si="38"/>
        <v>-8</v>
      </c>
      <c r="G522" s="57" t="str">
        <f t="shared" si="39"/>
        <v/>
      </c>
      <c r="H522" s="58"/>
    </row>
    <row r="523" spans="1:8">
      <c r="A523" s="52">
        <f t="shared" si="36"/>
        <v>503000</v>
      </c>
      <c r="B523" s="53">
        <f t="shared" si="37"/>
        <v>150</v>
      </c>
      <c r="C523" s="54" t="str">
        <f t="shared" si="35"/>
        <v>CO2</v>
      </c>
      <c r="D523" s="55">
        <f>IFERROR( HLOOKUP(A523,H2O_thicknesses!$1:$2,2, 0),0)</f>
        <v>0</v>
      </c>
      <c r="E523" s="55">
        <f>IFERROR( HLOOKUP(A523,CO2_thicknesses!$1:$2,2),0)</f>
        <v>-1.56510357650737</v>
      </c>
      <c r="F523" s="56">
        <f t="shared" si="38"/>
        <v>-7</v>
      </c>
      <c r="G523" s="57" t="str">
        <f t="shared" si="39"/>
        <v/>
      </c>
      <c r="H523" s="58"/>
    </row>
    <row r="524" spans="1:8">
      <c r="A524" s="52">
        <f t="shared" si="36"/>
        <v>504000</v>
      </c>
      <c r="B524" s="53">
        <f t="shared" si="37"/>
        <v>150</v>
      </c>
      <c r="C524" s="54" t="str">
        <f t="shared" si="35"/>
        <v>CO2</v>
      </c>
      <c r="D524" s="55">
        <f>IFERROR( HLOOKUP(A524,H2O_thicknesses!$1:$2,2, 0),0)</f>
        <v>0</v>
      </c>
      <c r="E524" s="55">
        <f>IFERROR( HLOOKUP(A524,CO2_thicknesses!$1:$2,2),0)</f>
        <v>-1.56510357650737</v>
      </c>
      <c r="F524" s="56">
        <f t="shared" si="38"/>
        <v>-6</v>
      </c>
      <c r="G524" s="57" t="str">
        <f t="shared" si="39"/>
        <v/>
      </c>
      <c r="H524" s="58"/>
    </row>
    <row r="525" spans="1:8">
      <c r="A525" s="52">
        <f t="shared" si="36"/>
        <v>505000</v>
      </c>
      <c r="B525" s="53">
        <f t="shared" si="37"/>
        <v>150</v>
      </c>
      <c r="C525" s="54" t="str">
        <f t="shared" si="35"/>
        <v>CO2</v>
      </c>
      <c r="D525" s="55">
        <f>IFERROR( HLOOKUP(A525,H2O_thicknesses!$1:$2,2, 0),0)</f>
        <v>0</v>
      </c>
      <c r="E525" s="55">
        <f>IFERROR( HLOOKUP(A525,CO2_thicknesses!$1:$2,2),0)</f>
        <v>-1.56510357650737</v>
      </c>
      <c r="F525" s="56">
        <f t="shared" si="38"/>
        <v>-5</v>
      </c>
      <c r="G525" s="57" t="str">
        <f t="shared" si="39"/>
        <v/>
      </c>
      <c r="H525" s="58"/>
    </row>
    <row r="526" spans="1:8">
      <c r="A526" s="52">
        <f t="shared" si="36"/>
        <v>506000</v>
      </c>
      <c r="B526" s="53">
        <f t="shared" si="37"/>
        <v>150</v>
      </c>
      <c r="C526" s="54" t="str">
        <f t="shared" si="35"/>
        <v>CO2</v>
      </c>
      <c r="D526" s="55">
        <f>IFERROR( HLOOKUP(A526,H2O_thicknesses!$1:$2,2, 0),0)</f>
        <v>0</v>
      </c>
      <c r="E526" s="55">
        <f>IFERROR( HLOOKUP(A526,CO2_thicknesses!$1:$2,2),0)</f>
        <v>-1.56510357650737</v>
      </c>
      <c r="F526" s="56">
        <f t="shared" si="38"/>
        <v>-4</v>
      </c>
      <c r="G526" s="57" t="str">
        <f t="shared" si="39"/>
        <v/>
      </c>
      <c r="H526" s="58"/>
    </row>
    <row r="527" spans="1:8">
      <c r="A527" s="52">
        <f t="shared" si="36"/>
        <v>507000</v>
      </c>
      <c r="B527" s="53">
        <f t="shared" si="37"/>
        <v>150</v>
      </c>
      <c r="C527" s="54" t="str">
        <f t="shared" si="35"/>
        <v>CO2</v>
      </c>
      <c r="D527" s="55">
        <f>IFERROR( HLOOKUP(A527,H2O_thicknesses!$1:$2,2, 0),0)</f>
        <v>0</v>
      </c>
      <c r="E527" s="55">
        <f>IFERROR( HLOOKUP(A527,CO2_thicknesses!$1:$2,2),0)</f>
        <v>-1.56510357650737</v>
      </c>
      <c r="F527" s="56">
        <f t="shared" si="38"/>
        <v>-3</v>
      </c>
      <c r="G527" s="57" t="str">
        <f t="shared" si="39"/>
        <v/>
      </c>
      <c r="H527" s="58"/>
    </row>
    <row r="528" spans="1:8">
      <c r="A528" s="52">
        <f t="shared" si="36"/>
        <v>508000</v>
      </c>
      <c r="B528" s="53">
        <f t="shared" si="37"/>
        <v>150</v>
      </c>
      <c r="C528" s="54" t="str">
        <f t="shared" si="35"/>
        <v>CO2</v>
      </c>
      <c r="D528" s="55">
        <f>IFERROR( HLOOKUP(A528,H2O_thicknesses!$1:$2,2, 0),0)</f>
        <v>0</v>
      </c>
      <c r="E528" s="55">
        <f>IFERROR( HLOOKUP(A528,CO2_thicknesses!$1:$2,2),0)</f>
        <v>-1.56510357650737</v>
      </c>
      <c r="F528" s="56">
        <f t="shared" si="38"/>
        <v>-2</v>
      </c>
      <c r="G528" s="57" t="str">
        <f t="shared" si="39"/>
        <v/>
      </c>
      <c r="H528" s="58"/>
    </row>
    <row r="529" spans="1:8">
      <c r="A529" s="52">
        <f t="shared" si="36"/>
        <v>509000</v>
      </c>
      <c r="B529" s="53">
        <f t="shared" si="37"/>
        <v>150</v>
      </c>
      <c r="C529" s="54" t="str">
        <f t="shared" si="35"/>
        <v>CO2</v>
      </c>
      <c r="D529" s="55">
        <f>IFERROR( HLOOKUP(A529,H2O_thicknesses!$1:$2,2, 0),0)</f>
        <v>0</v>
      </c>
      <c r="E529" s="55">
        <f>IFERROR( HLOOKUP(A529,CO2_thicknesses!$1:$2,2),0)</f>
        <v>-1.56510357650737</v>
      </c>
      <c r="F529" s="56">
        <f t="shared" si="38"/>
        <v>-1</v>
      </c>
      <c r="G529" s="57" t="str">
        <f t="shared" si="39"/>
        <v/>
      </c>
      <c r="H529" s="58"/>
    </row>
    <row r="530" spans="1:8">
      <c r="A530" s="52">
        <f t="shared" si="36"/>
        <v>510000</v>
      </c>
      <c r="B530" s="53">
        <f t="shared" si="37"/>
        <v>150</v>
      </c>
      <c r="C530" s="54" t="str">
        <f t="shared" si="35"/>
        <v>CO2</v>
      </c>
      <c r="D530" s="55">
        <f>IFERROR( HLOOKUP(A530,H2O_thicknesses!$1:$2,2, 0),0)</f>
        <v>0</v>
      </c>
      <c r="E530" s="55">
        <f>IFERROR( HLOOKUP(A530,CO2_thicknesses!$1:$2,2),0)</f>
        <v>-1.56510357650737</v>
      </c>
      <c r="F530" s="56">
        <f t="shared" si="38"/>
        <v>0</v>
      </c>
      <c r="G530" s="57" t="str">
        <f t="shared" si="39"/>
        <v/>
      </c>
      <c r="H530" s="58"/>
    </row>
    <row r="531" spans="1:8">
      <c r="A531" s="52"/>
      <c r="B531" s="53"/>
      <c r="C531" s="54"/>
      <c r="D531" s="55"/>
      <c r="E531" s="55"/>
      <c r="F531" s="56"/>
      <c r="G531" s="57"/>
      <c r="H531" s="58"/>
    </row>
    <row r="532" spans="1:8">
      <c r="A532" s="52"/>
      <c r="B532" s="53"/>
      <c r="C532" s="54"/>
      <c r="D532" s="55"/>
      <c r="E532" s="55"/>
      <c r="F532" s="56"/>
      <c r="G532" s="57" t="str">
        <f t="shared" ref="G532:G563" si="40">IF(C531&lt;&gt;C532,C532,"")</f>
        <v/>
      </c>
    </row>
    <row r="533" spans="1:8">
      <c r="A533" s="52"/>
      <c r="B533" s="53"/>
      <c r="C533" s="54"/>
      <c r="D533" s="55"/>
      <c r="E533" s="55"/>
      <c r="F533" s="56"/>
      <c r="G533" s="57" t="str">
        <f t="shared" si="40"/>
        <v/>
      </c>
    </row>
    <row r="534" spans="1:8">
      <c r="A534" s="52"/>
      <c r="B534" s="53"/>
      <c r="C534" s="54"/>
      <c r="D534" s="55"/>
      <c r="E534" s="55"/>
      <c r="F534" s="56"/>
      <c r="G534" s="57" t="str">
        <f t="shared" si="40"/>
        <v/>
      </c>
    </row>
    <row r="535" spans="1:8">
      <c r="A535" s="52"/>
      <c r="B535" s="53"/>
      <c r="C535" s="54"/>
      <c r="D535" s="55"/>
      <c r="E535" s="55"/>
      <c r="F535" s="56"/>
      <c r="G535" s="57" t="str">
        <f t="shared" si="40"/>
        <v/>
      </c>
    </row>
    <row r="536" spans="1:8">
      <c r="A536" s="52"/>
      <c r="B536" s="53"/>
      <c r="C536" s="54"/>
      <c r="D536" s="55"/>
      <c r="E536" s="55"/>
      <c r="F536" s="56"/>
      <c r="G536" s="57" t="str">
        <f t="shared" si="40"/>
        <v/>
      </c>
    </row>
    <row r="537" spans="1:8">
      <c r="A537" s="52"/>
      <c r="B537" s="53"/>
      <c r="C537" s="54"/>
      <c r="D537" s="55"/>
      <c r="E537" s="55"/>
      <c r="F537" s="56"/>
      <c r="G537" s="57" t="str">
        <f t="shared" si="40"/>
        <v/>
      </c>
    </row>
    <row r="538" spans="1:8">
      <c r="A538" s="52"/>
      <c r="B538" s="53"/>
      <c r="C538" s="54"/>
      <c r="D538" s="55"/>
      <c r="E538" s="55"/>
      <c r="F538" s="56"/>
      <c r="G538" s="57" t="str">
        <f t="shared" si="40"/>
        <v/>
      </c>
    </row>
    <row r="539" spans="1:8">
      <c r="A539" s="52"/>
      <c r="B539" s="53"/>
      <c r="C539" s="54"/>
      <c r="D539" s="55"/>
      <c r="E539" s="55"/>
      <c r="F539" s="56"/>
      <c r="G539" s="57" t="str">
        <f t="shared" si="40"/>
        <v/>
      </c>
    </row>
    <row r="540" spans="1:8">
      <c r="A540" s="52"/>
      <c r="B540" s="53"/>
      <c r="C540" s="54"/>
      <c r="D540" s="55"/>
      <c r="E540" s="55"/>
      <c r="F540" s="56"/>
      <c r="G540" s="57" t="str">
        <f t="shared" si="40"/>
        <v/>
      </c>
    </row>
    <row r="541" spans="1:8">
      <c r="A541" s="52"/>
      <c r="B541" s="53"/>
      <c r="C541" s="54"/>
      <c r="D541" s="55"/>
      <c r="E541" s="55"/>
      <c r="F541" s="56"/>
      <c r="G541" s="57" t="str">
        <f t="shared" si="40"/>
        <v/>
      </c>
    </row>
    <row r="542" spans="1:8">
      <c r="A542" s="52"/>
      <c r="B542" s="53"/>
      <c r="C542" s="54"/>
      <c r="D542" s="55"/>
      <c r="E542" s="55"/>
      <c r="F542" s="56"/>
      <c r="G542" s="57" t="str">
        <f t="shared" si="40"/>
        <v/>
      </c>
    </row>
    <row r="543" spans="1:8">
      <c r="A543" s="52"/>
      <c r="B543" s="53"/>
      <c r="C543" s="54"/>
      <c r="D543" s="55"/>
      <c r="E543" s="55"/>
      <c r="F543" s="56"/>
      <c r="G543" s="57" t="str">
        <f t="shared" si="40"/>
        <v/>
      </c>
    </row>
    <row r="544" spans="1:8">
      <c r="A544" s="52"/>
      <c r="B544" s="53"/>
      <c r="C544" s="54"/>
      <c r="D544" s="55"/>
      <c r="E544" s="55"/>
      <c r="F544" s="56"/>
      <c r="G544" s="57" t="str">
        <f t="shared" si="40"/>
        <v/>
      </c>
    </row>
    <row r="545" spans="1:7">
      <c r="A545" s="52"/>
      <c r="B545" s="53"/>
      <c r="C545" s="54"/>
      <c r="D545" s="55"/>
      <c r="E545" s="55"/>
      <c r="F545" s="56"/>
      <c r="G545" s="57" t="str">
        <f t="shared" si="40"/>
        <v/>
      </c>
    </row>
    <row r="546" spans="1:7">
      <c r="A546" s="52"/>
      <c r="B546" s="53"/>
      <c r="C546" s="54"/>
      <c r="D546" s="55"/>
      <c r="E546" s="55"/>
      <c r="F546" s="56"/>
      <c r="G546" s="57" t="str">
        <f t="shared" si="40"/>
        <v/>
      </c>
    </row>
    <row r="547" spans="1:7">
      <c r="A547" s="52"/>
      <c r="B547" s="53"/>
      <c r="C547" s="54"/>
      <c r="D547" s="55"/>
      <c r="E547" s="55"/>
      <c r="F547" s="56"/>
      <c r="G547" s="57" t="str">
        <f t="shared" si="40"/>
        <v/>
      </c>
    </row>
    <row r="548" spans="1:7">
      <c r="A548" s="52"/>
      <c r="B548" s="53"/>
      <c r="C548" s="54"/>
      <c r="D548" s="55"/>
      <c r="E548" s="55"/>
      <c r="F548" s="56"/>
      <c r="G548" s="57" t="str">
        <f t="shared" si="40"/>
        <v/>
      </c>
    </row>
    <row r="549" spans="1:7">
      <c r="A549" s="52"/>
      <c r="B549" s="53"/>
      <c r="C549" s="54"/>
      <c r="D549" s="55"/>
      <c r="E549" s="55"/>
      <c r="F549" s="56"/>
      <c r="G549" s="57" t="str">
        <f t="shared" si="40"/>
        <v/>
      </c>
    </row>
    <row r="550" spans="1:7">
      <c r="A550" s="52"/>
      <c r="B550" s="53"/>
      <c r="C550" s="54"/>
      <c r="D550" s="55"/>
      <c r="E550" s="55"/>
      <c r="F550" s="56"/>
      <c r="G550" s="57" t="str">
        <f t="shared" si="40"/>
        <v/>
      </c>
    </row>
    <row r="551" spans="1:7">
      <c r="A551" s="52"/>
      <c r="B551" s="53"/>
      <c r="C551" s="54"/>
      <c r="D551" s="55"/>
      <c r="E551" s="55"/>
      <c r="F551" s="56"/>
      <c r="G551" s="57" t="str">
        <f t="shared" si="40"/>
        <v/>
      </c>
    </row>
    <row r="552" spans="1:7">
      <c r="A552" s="52"/>
      <c r="B552" s="53"/>
      <c r="C552" s="54"/>
      <c r="D552" s="55"/>
      <c r="E552" s="55"/>
      <c r="F552" s="56"/>
      <c r="G552" s="57" t="str">
        <f t="shared" si="40"/>
        <v/>
      </c>
    </row>
    <row r="553" spans="1:7">
      <c r="A553" s="52"/>
      <c r="B553" s="53"/>
      <c r="C553" s="54"/>
      <c r="D553" s="55"/>
      <c r="E553" s="55"/>
      <c r="F553" s="56"/>
      <c r="G553" s="57" t="str">
        <f t="shared" si="40"/>
        <v/>
      </c>
    </row>
    <row r="554" spans="1:7">
      <c r="A554" s="52"/>
      <c r="B554" s="53"/>
      <c r="C554" s="54"/>
      <c r="D554" s="55"/>
      <c r="E554" s="55"/>
      <c r="F554" s="56"/>
      <c r="G554" s="57" t="str">
        <f t="shared" si="40"/>
        <v/>
      </c>
    </row>
    <row r="555" spans="1:7">
      <c r="A555" s="52"/>
      <c r="B555" s="53"/>
      <c r="C555" s="54"/>
      <c r="D555" s="55"/>
      <c r="E555" s="55"/>
      <c r="F555" s="56"/>
      <c r="G555" s="57" t="str">
        <f t="shared" si="40"/>
        <v/>
      </c>
    </row>
    <row r="556" spans="1:7">
      <c r="A556" s="52"/>
      <c r="B556" s="53"/>
      <c r="C556" s="54"/>
      <c r="D556" s="55"/>
      <c r="E556" s="55"/>
      <c r="F556" s="56"/>
      <c r="G556" s="57" t="str">
        <f t="shared" si="40"/>
        <v/>
      </c>
    </row>
    <row r="557" spans="1:7">
      <c r="A557" s="52"/>
      <c r="B557" s="53"/>
      <c r="C557" s="54"/>
      <c r="D557" s="55"/>
      <c r="E557" s="55"/>
      <c r="F557" s="56"/>
      <c r="G557" s="57" t="str">
        <f t="shared" si="40"/>
        <v/>
      </c>
    </row>
    <row r="558" spans="1:7">
      <c r="A558" s="52"/>
      <c r="B558" s="53"/>
      <c r="C558" s="54"/>
      <c r="D558" s="55"/>
      <c r="E558" s="55"/>
      <c r="F558" s="56"/>
      <c r="G558" s="57" t="str">
        <f t="shared" si="40"/>
        <v/>
      </c>
    </row>
    <row r="559" spans="1:7">
      <c r="A559" s="52"/>
      <c r="B559" s="53"/>
      <c r="C559" s="54"/>
      <c r="D559" s="55"/>
      <c r="E559" s="55"/>
      <c r="F559" s="56"/>
      <c r="G559" s="57" t="str">
        <f t="shared" si="40"/>
        <v/>
      </c>
    </row>
    <row r="560" spans="1:7">
      <c r="A560" s="52"/>
      <c r="B560" s="53"/>
      <c r="C560" s="54"/>
      <c r="D560" s="55"/>
      <c r="E560" s="55"/>
      <c r="F560" s="56"/>
      <c r="G560" s="57" t="str">
        <f t="shared" si="40"/>
        <v/>
      </c>
    </row>
    <row r="561" spans="1:7">
      <c r="A561" s="52"/>
      <c r="B561" s="53"/>
      <c r="C561" s="54"/>
      <c r="D561" s="55"/>
      <c r="E561" s="55"/>
      <c r="F561" s="56"/>
      <c r="G561" s="57" t="str">
        <f t="shared" si="40"/>
        <v/>
      </c>
    </row>
    <row r="562" spans="1:7">
      <c r="A562" s="52"/>
      <c r="B562" s="53"/>
      <c r="C562" s="54"/>
      <c r="D562" s="55"/>
      <c r="E562" s="55"/>
      <c r="F562" s="56"/>
      <c r="G562" s="57" t="str">
        <f t="shared" si="40"/>
        <v/>
      </c>
    </row>
    <row r="563" spans="1:7">
      <c r="A563" s="52"/>
      <c r="B563" s="53"/>
      <c r="C563" s="54"/>
      <c r="D563" s="55"/>
      <c r="E563" s="55"/>
      <c r="F563" s="56"/>
      <c r="G563" s="57" t="str">
        <f t="shared" si="40"/>
        <v/>
      </c>
    </row>
    <row r="564" spans="1:7">
      <c r="A564" s="52"/>
      <c r="B564" s="53"/>
      <c r="C564" s="54"/>
      <c r="D564" s="55"/>
      <c r="E564" s="55"/>
      <c r="F564" s="56"/>
      <c r="G564" s="57" t="str">
        <f t="shared" ref="G564:G595" si="41">IF(C563&lt;&gt;C564,C564,"")</f>
        <v/>
      </c>
    </row>
    <row r="565" spans="1:7">
      <c r="A565" s="52"/>
      <c r="B565" s="53"/>
      <c r="C565" s="54"/>
      <c r="D565" s="55"/>
      <c r="E565" s="55"/>
      <c r="F565" s="56"/>
      <c r="G565" s="57" t="str">
        <f t="shared" si="41"/>
        <v/>
      </c>
    </row>
    <row r="566" spans="1:7">
      <c r="A566" s="52"/>
      <c r="B566" s="53"/>
      <c r="C566" s="54"/>
      <c r="D566" s="55"/>
      <c r="E566" s="55"/>
      <c r="F566" s="56"/>
      <c r="G566" s="57" t="str">
        <f t="shared" si="41"/>
        <v/>
      </c>
    </row>
    <row r="567" spans="1:7">
      <c r="A567" s="52"/>
      <c r="B567" s="53"/>
      <c r="C567" s="54"/>
      <c r="D567" s="55"/>
      <c r="E567" s="55"/>
      <c r="F567" s="56"/>
      <c r="G567" s="57" t="str">
        <f t="shared" si="41"/>
        <v/>
      </c>
    </row>
    <row r="568" spans="1:7">
      <c r="A568" s="52"/>
      <c r="B568" s="53"/>
      <c r="C568" s="54"/>
      <c r="D568" s="55"/>
      <c r="E568" s="55"/>
      <c r="F568" s="56"/>
      <c r="G568" s="57" t="str">
        <f t="shared" si="41"/>
        <v/>
      </c>
    </row>
    <row r="569" spans="1:7">
      <c r="A569" s="52"/>
      <c r="B569" s="53"/>
      <c r="C569" s="54"/>
      <c r="D569" s="55"/>
      <c r="E569" s="55"/>
      <c r="F569" s="56"/>
      <c r="G569" s="57" t="str">
        <f t="shared" si="41"/>
        <v/>
      </c>
    </row>
    <row r="570" spans="1:7">
      <c r="A570" s="52"/>
      <c r="B570" s="53"/>
      <c r="C570" s="54"/>
      <c r="D570" s="55"/>
      <c r="E570" s="55"/>
      <c r="F570" s="56"/>
      <c r="G570" s="57" t="str">
        <f t="shared" si="41"/>
        <v/>
      </c>
    </row>
    <row r="571" spans="1:7">
      <c r="A571" s="52"/>
      <c r="B571" s="53"/>
      <c r="C571" s="54"/>
      <c r="D571" s="55"/>
      <c r="E571" s="55"/>
      <c r="F571" s="56"/>
      <c r="G571" s="57" t="str">
        <f t="shared" si="41"/>
        <v/>
      </c>
    </row>
    <row r="572" spans="1:7">
      <c r="A572" s="52"/>
      <c r="B572" s="53"/>
      <c r="C572" s="54"/>
      <c r="D572" s="55"/>
      <c r="E572" s="55"/>
      <c r="F572" s="56"/>
      <c r="G572" s="57" t="str">
        <f t="shared" si="41"/>
        <v/>
      </c>
    </row>
    <row r="573" spans="1:7">
      <c r="A573" s="52"/>
      <c r="B573" s="53"/>
      <c r="C573" s="54"/>
      <c r="D573" s="55"/>
      <c r="E573" s="55"/>
      <c r="F573" s="56"/>
      <c r="G573" s="57" t="str">
        <f t="shared" si="41"/>
        <v/>
      </c>
    </row>
    <row r="574" spans="1:7">
      <c r="A574" s="52"/>
      <c r="B574" s="53"/>
      <c r="C574" s="54"/>
      <c r="D574" s="55"/>
      <c r="E574" s="55"/>
      <c r="F574" s="56"/>
      <c r="G574" s="57" t="str">
        <f t="shared" si="41"/>
        <v/>
      </c>
    </row>
    <row r="575" spans="1:7">
      <c r="A575" s="52"/>
      <c r="B575" s="53"/>
      <c r="C575" s="54"/>
      <c r="D575" s="55"/>
      <c r="E575" s="55"/>
      <c r="F575" s="56"/>
      <c r="G575" s="57" t="str">
        <f t="shared" si="41"/>
        <v/>
      </c>
    </row>
    <row r="576" spans="1:7">
      <c r="A576" s="52"/>
      <c r="B576" s="53"/>
      <c r="C576" s="54"/>
      <c r="D576" s="55"/>
      <c r="E576" s="55"/>
      <c r="F576" s="56"/>
      <c r="G576" s="57" t="str">
        <f t="shared" si="41"/>
        <v/>
      </c>
    </row>
    <row r="577" spans="1:7">
      <c r="A577" s="52"/>
      <c r="B577" s="53"/>
      <c r="C577" s="54"/>
      <c r="D577" s="55"/>
      <c r="E577" s="55"/>
      <c r="F577" s="56"/>
      <c r="G577" s="57" t="str">
        <f t="shared" si="41"/>
        <v/>
      </c>
    </row>
    <row r="578" spans="1:7">
      <c r="A578" s="52"/>
      <c r="B578" s="53"/>
      <c r="C578" s="54"/>
      <c r="D578" s="55"/>
      <c r="E578" s="55"/>
      <c r="F578" s="56"/>
      <c r="G578" s="57" t="str">
        <f t="shared" si="41"/>
        <v/>
      </c>
    </row>
    <row r="579" spans="1:7">
      <c r="A579" s="52"/>
      <c r="B579" s="53"/>
      <c r="C579" s="54"/>
      <c r="D579" s="55"/>
      <c r="E579" s="55"/>
      <c r="F579" s="56"/>
      <c r="G579" s="57" t="str">
        <f t="shared" si="41"/>
        <v/>
      </c>
    </row>
    <row r="580" spans="1:7">
      <c r="A580" s="52"/>
      <c r="B580" s="53"/>
      <c r="C580" s="54"/>
      <c r="D580" s="55"/>
      <c r="E580" s="55"/>
      <c r="F580" s="56"/>
      <c r="G580" s="57" t="str">
        <f t="shared" si="41"/>
        <v/>
      </c>
    </row>
    <row r="581" spans="1:7">
      <c r="A581" s="52"/>
      <c r="B581" s="53"/>
      <c r="C581" s="54"/>
      <c r="D581" s="55"/>
      <c r="E581" s="55"/>
      <c r="F581" s="56"/>
      <c r="G581" s="57" t="str">
        <f t="shared" si="41"/>
        <v/>
      </c>
    </row>
    <row r="582" spans="1:7">
      <c r="A582" s="52"/>
      <c r="B582" s="53"/>
      <c r="C582" s="54"/>
      <c r="D582" s="55"/>
      <c r="E582" s="55"/>
      <c r="F582" s="56"/>
      <c r="G582" s="57" t="str">
        <f t="shared" si="41"/>
        <v/>
      </c>
    </row>
    <row r="583" spans="1:7">
      <c r="A583" s="52"/>
      <c r="B583" s="53"/>
      <c r="C583" s="54"/>
      <c r="D583" s="55"/>
      <c r="E583" s="55"/>
      <c r="F583" s="56"/>
      <c r="G583" s="57" t="str">
        <f t="shared" si="41"/>
        <v/>
      </c>
    </row>
    <row r="584" spans="1:7">
      <c r="A584" s="52"/>
      <c r="B584" s="53"/>
      <c r="C584" s="54"/>
      <c r="D584" s="55"/>
      <c r="E584" s="55"/>
      <c r="F584" s="56"/>
      <c r="G584" s="57" t="str">
        <f t="shared" si="41"/>
        <v/>
      </c>
    </row>
    <row r="585" spans="1:7">
      <c r="A585" s="52"/>
      <c r="B585" s="53"/>
      <c r="C585" s="54"/>
      <c r="D585" s="55"/>
      <c r="E585" s="55"/>
      <c r="F585" s="56"/>
      <c r="G585" s="57" t="str">
        <f t="shared" si="41"/>
        <v/>
      </c>
    </row>
    <row r="586" spans="1:7">
      <c r="A586" s="52"/>
      <c r="B586" s="53"/>
      <c r="C586" s="54"/>
      <c r="D586" s="55"/>
      <c r="E586" s="55"/>
      <c r="F586" s="56"/>
      <c r="G586" s="57" t="str">
        <f t="shared" si="41"/>
        <v/>
      </c>
    </row>
    <row r="587" spans="1:7">
      <c r="A587" s="52"/>
      <c r="B587" s="53"/>
      <c r="C587" s="54"/>
      <c r="D587" s="55"/>
      <c r="E587" s="55"/>
      <c r="F587" s="56"/>
      <c r="G587" s="57" t="str">
        <f t="shared" si="41"/>
        <v/>
      </c>
    </row>
    <row r="588" spans="1:7">
      <c r="A588" s="52"/>
      <c r="B588" s="53"/>
      <c r="C588" s="54"/>
      <c r="D588" s="55"/>
      <c r="E588" s="55"/>
      <c r="F588" s="56"/>
      <c r="G588" s="57" t="str">
        <f t="shared" si="41"/>
        <v/>
      </c>
    </row>
    <row r="589" spans="1:7">
      <c r="A589" s="52"/>
      <c r="B589" s="53"/>
      <c r="C589" s="54"/>
      <c r="D589" s="55"/>
      <c r="E589" s="55"/>
      <c r="F589" s="56"/>
      <c r="G589" s="57" t="str">
        <f t="shared" si="41"/>
        <v/>
      </c>
    </row>
    <row r="590" spans="1:7">
      <c r="A590" s="52"/>
      <c r="B590" s="53"/>
      <c r="C590" s="54"/>
      <c r="D590" s="55"/>
      <c r="E590" s="55"/>
      <c r="F590" s="56"/>
      <c r="G590" s="57" t="str">
        <f t="shared" si="41"/>
        <v/>
      </c>
    </row>
    <row r="591" spans="1:7">
      <c r="A591" s="52"/>
      <c r="B591" s="53"/>
      <c r="C591" s="54"/>
      <c r="D591" s="55"/>
      <c r="E591" s="55"/>
      <c r="F591" s="56"/>
      <c r="G591" s="57" t="str">
        <f t="shared" si="41"/>
        <v/>
      </c>
    </row>
    <row r="592" spans="1:7">
      <c r="A592" s="52"/>
      <c r="B592" s="53"/>
      <c r="C592" s="54"/>
      <c r="D592" s="55"/>
      <c r="E592" s="55"/>
      <c r="F592" s="56"/>
      <c r="G592" s="57" t="str">
        <f t="shared" si="41"/>
        <v/>
      </c>
    </row>
    <row r="593" spans="1:7">
      <c r="A593" s="52"/>
      <c r="B593" s="53"/>
      <c r="C593" s="54"/>
      <c r="D593" s="55"/>
      <c r="E593" s="55"/>
      <c r="F593" s="56"/>
      <c r="G593" s="57" t="str">
        <f t="shared" si="41"/>
        <v/>
      </c>
    </row>
    <row r="594" spans="1:7">
      <c r="A594" s="52"/>
      <c r="B594" s="53"/>
      <c r="C594" s="54"/>
      <c r="D594" s="55"/>
      <c r="E594" s="55"/>
      <c r="F594" s="56"/>
      <c r="G594" s="57" t="str">
        <f t="shared" si="41"/>
        <v/>
      </c>
    </row>
    <row r="595" spans="1:7">
      <c r="A595" s="52"/>
      <c r="B595" s="53"/>
      <c r="C595" s="54"/>
      <c r="D595" s="55"/>
      <c r="E595" s="55"/>
      <c r="F595" s="56"/>
      <c r="G595" s="57" t="str">
        <f t="shared" si="41"/>
        <v/>
      </c>
    </row>
    <row r="596" spans="1:7">
      <c r="A596" s="52"/>
      <c r="B596" s="53"/>
      <c r="C596" s="54"/>
      <c r="D596" s="55"/>
      <c r="E596" s="55"/>
      <c r="F596" s="56"/>
      <c r="G596" s="57" t="str">
        <f t="shared" ref="G596:G620" si="42">IF(C595&lt;&gt;C596,C596,"")</f>
        <v/>
      </c>
    </row>
    <row r="597" spans="1:7">
      <c r="A597" s="52"/>
      <c r="B597" s="53"/>
      <c r="C597" s="54"/>
      <c r="D597" s="55"/>
      <c r="E597" s="55"/>
      <c r="F597" s="56"/>
      <c r="G597" s="57" t="str">
        <f t="shared" si="42"/>
        <v/>
      </c>
    </row>
    <row r="598" spans="1:7">
      <c r="A598" s="52"/>
      <c r="B598" s="53"/>
      <c r="C598" s="54"/>
      <c r="D598" s="55"/>
      <c r="E598" s="55"/>
      <c r="F598" s="56"/>
      <c r="G598" s="57" t="str">
        <f t="shared" si="42"/>
        <v/>
      </c>
    </row>
    <row r="599" spans="1:7">
      <c r="A599" s="52"/>
      <c r="B599" s="53"/>
      <c r="C599" s="54"/>
      <c r="D599" s="55"/>
      <c r="E599" s="55"/>
      <c r="F599" s="56"/>
      <c r="G599" s="57" t="str">
        <f t="shared" si="42"/>
        <v/>
      </c>
    </row>
    <row r="600" spans="1:7">
      <c r="A600" s="52"/>
      <c r="B600" s="53"/>
      <c r="C600" s="54"/>
      <c r="D600" s="55"/>
      <c r="E600" s="55"/>
      <c r="F600" s="56"/>
      <c r="G600" s="57" t="str">
        <f t="shared" si="42"/>
        <v/>
      </c>
    </row>
    <row r="601" spans="1:7">
      <c r="A601" s="52"/>
      <c r="B601" s="53"/>
      <c r="C601" s="54"/>
      <c r="D601" s="55"/>
      <c r="E601" s="55"/>
      <c r="F601" s="56"/>
      <c r="G601" s="57" t="str">
        <f t="shared" si="42"/>
        <v/>
      </c>
    </row>
    <row r="602" spans="1:7">
      <c r="A602" s="52"/>
      <c r="B602" s="53"/>
      <c r="C602" s="54"/>
      <c r="D602" s="55"/>
      <c r="E602" s="55"/>
      <c r="F602" s="56"/>
      <c r="G602" s="57" t="str">
        <f t="shared" si="42"/>
        <v/>
      </c>
    </row>
    <row r="603" spans="1:7">
      <c r="A603" s="52"/>
      <c r="B603" s="53"/>
      <c r="C603" s="54"/>
      <c r="D603" s="55"/>
      <c r="E603" s="55"/>
      <c r="F603" s="56"/>
      <c r="G603" s="57" t="str">
        <f t="shared" si="42"/>
        <v/>
      </c>
    </row>
    <row r="604" spans="1:7">
      <c r="A604" s="52"/>
      <c r="B604" s="53"/>
      <c r="C604" s="54"/>
      <c r="D604" s="55"/>
      <c r="E604" s="55"/>
      <c r="F604" s="56"/>
      <c r="G604" s="57" t="str">
        <f t="shared" si="42"/>
        <v/>
      </c>
    </row>
    <row r="605" spans="1:7">
      <c r="A605" s="52"/>
      <c r="B605" s="53"/>
      <c r="C605" s="54"/>
      <c r="D605" s="55"/>
      <c r="E605" s="55"/>
      <c r="F605" s="56"/>
      <c r="G605" s="57" t="str">
        <f t="shared" si="42"/>
        <v/>
      </c>
    </row>
    <row r="606" spans="1:7">
      <c r="A606" s="52"/>
      <c r="B606" s="53"/>
      <c r="C606" s="54"/>
      <c r="D606" s="55"/>
      <c r="E606" s="55"/>
      <c r="F606" s="56"/>
      <c r="G606" s="57" t="str">
        <f t="shared" si="42"/>
        <v/>
      </c>
    </row>
    <row r="607" spans="1:7">
      <c r="A607" s="52"/>
      <c r="B607" s="53"/>
      <c r="C607" s="54"/>
      <c r="D607" s="55"/>
      <c r="E607" s="55"/>
      <c r="F607" s="56"/>
      <c r="G607" s="57" t="str">
        <f t="shared" si="42"/>
        <v/>
      </c>
    </row>
    <row r="608" spans="1:7">
      <c r="A608" s="52"/>
      <c r="B608" s="53"/>
      <c r="C608" s="54"/>
      <c r="D608" s="55"/>
      <c r="E608" s="55"/>
      <c r="F608" s="56"/>
      <c r="G608" s="57" t="str">
        <f t="shared" si="42"/>
        <v/>
      </c>
    </row>
    <row r="609" spans="1:7">
      <c r="A609" s="52"/>
      <c r="B609" s="53"/>
      <c r="C609" s="54"/>
      <c r="D609" s="55"/>
      <c r="E609" s="55"/>
      <c r="F609" s="56"/>
      <c r="G609" s="57" t="str">
        <f t="shared" si="42"/>
        <v/>
      </c>
    </row>
    <row r="610" spans="1:7">
      <c r="A610" s="52"/>
      <c r="B610" s="53"/>
      <c r="C610" s="54"/>
      <c r="D610" s="55"/>
      <c r="E610" s="55"/>
      <c r="F610" s="56"/>
      <c r="G610" s="57" t="str">
        <f t="shared" si="42"/>
        <v/>
      </c>
    </row>
    <row r="611" spans="1:7">
      <c r="A611" s="52"/>
      <c r="B611" s="53"/>
      <c r="C611" s="54"/>
      <c r="D611" s="55"/>
      <c r="E611" s="55"/>
      <c r="F611" s="56"/>
      <c r="G611" s="57" t="str">
        <f t="shared" si="42"/>
        <v/>
      </c>
    </row>
    <row r="612" spans="1:7">
      <c r="A612" s="52"/>
      <c r="B612" s="53"/>
      <c r="C612" s="54"/>
      <c r="D612" s="55"/>
      <c r="E612" s="55"/>
      <c r="F612" s="56"/>
      <c r="G612" s="57" t="str">
        <f t="shared" si="42"/>
        <v/>
      </c>
    </row>
    <row r="613" spans="1:7">
      <c r="A613" s="52"/>
      <c r="B613" s="53"/>
      <c r="C613" s="54"/>
      <c r="D613" s="55"/>
      <c r="E613" s="55"/>
      <c r="F613" s="56"/>
      <c r="G613" s="57" t="str">
        <f t="shared" si="42"/>
        <v/>
      </c>
    </row>
    <row r="614" spans="1:7">
      <c r="A614" s="52"/>
      <c r="B614" s="53"/>
      <c r="C614" s="54"/>
      <c r="D614" s="55"/>
      <c r="E614" s="55"/>
      <c r="F614" s="56"/>
      <c r="G614" s="57" t="str">
        <f t="shared" si="42"/>
        <v/>
      </c>
    </row>
    <row r="615" spans="1:7">
      <c r="A615" s="52"/>
      <c r="B615" s="53"/>
      <c r="C615" s="54"/>
      <c r="D615" s="55"/>
      <c r="E615" s="55"/>
      <c r="F615" s="56"/>
      <c r="G615" s="57" t="str">
        <f t="shared" si="42"/>
        <v/>
      </c>
    </row>
    <row r="616" spans="1:7">
      <c r="A616" s="52"/>
      <c r="B616" s="53"/>
      <c r="C616" s="54"/>
      <c r="D616" s="55"/>
      <c r="E616" s="55"/>
      <c r="F616" s="56"/>
      <c r="G616" s="57" t="str">
        <f t="shared" si="42"/>
        <v/>
      </c>
    </row>
    <row r="617" spans="1:7">
      <c r="A617" s="52"/>
      <c r="B617" s="53"/>
      <c r="C617" s="54"/>
      <c r="D617" s="55"/>
      <c r="E617" s="55"/>
      <c r="F617" s="56"/>
      <c r="G617" s="57" t="str">
        <f t="shared" si="42"/>
        <v/>
      </c>
    </row>
    <row r="618" spans="1:7">
      <c r="A618" s="52"/>
      <c r="B618" s="53"/>
      <c r="C618" s="54"/>
      <c r="D618" s="55"/>
      <c r="E618" s="55"/>
      <c r="F618" s="56"/>
      <c r="G618" s="57" t="str">
        <f t="shared" si="42"/>
        <v/>
      </c>
    </row>
    <row r="619" spans="1:7">
      <c r="A619" s="52"/>
      <c r="B619" s="53"/>
      <c r="C619" s="54"/>
      <c r="D619" s="55"/>
      <c r="E619" s="55"/>
      <c r="F619" s="56"/>
      <c r="G619" s="57" t="str">
        <f t="shared" si="42"/>
        <v/>
      </c>
    </row>
    <row r="620" spans="1:7">
      <c r="A620" s="52"/>
      <c r="B620" s="53"/>
      <c r="C620" s="54"/>
      <c r="D620" s="55"/>
      <c r="E620" s="55"/>
      <c r="F620" s="56"/>
      <c r="G620" s="57" t="str">
        <f t="shared" si="42"/>
        <v/>
      </c>
    </row>
  </sheetData>
  <mergeCells count="8">
    <mergeCell ref="A1:B1"/>
    <mergeCell ref="D1:F1"/>
    <mergeCell ref="D9:F9"/>
    <mergeCell ref="D17:F17"/>
    <mergeCell ref="A18:A19"/>
    <mergeCell ref="B18:B19"/>
    <mergeCell ref="C18:C19"/>
    <mergeCell ref="D18:F18"/>
  </mergeCells>
  <conditionalFormatting sqref="D20:D620">
    <cfRule type="cellIs" priority="2" operator="greaterThan">
      <formula>0</formula>
    </cfRule>
  </conditionalFormatting>
  <conditionalFormatting sqref="E20:E16313">
    <cfRule type="cellIs" priority="3" operator="lessThan">
      <formula>0</formula>
    </cfRule>
  </conditionalFormatting>
  <conditionalFormatting sqref="H342">
    <cfRule type="cellIs" priority="4" operator="lessThan">
      <formula>0</formula>
    </cfRule>
  </conditionalFormatting>
  <dataValidations count="2">
    <dataValidation type="list" allowBlank="1" showInputMessage="1" showErrorMessage="1" sqref="C3" xr:uid="{00000000-0002-0000-0000-000000000000}">
      <formula1>"0,1,N/A"</formula1>
      <formula2>0</formula2>
    </dataValidation>
    <dataValidation type="list" allowBlank="1" showInputMessage="1" showErrorMessage="1" sqref="C8" xr:uid="{00000000-0002-0000-0000-000001000000}">
      <formula1>"Earth,Mars,Pluto"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Q3"/>
  <sheetViews>
    <sheetView topLeftCell="AP1" zoomScale="92" zoomScaleNormal="92" workbookViewId="0"/>
  </sheetViews>
  <sheetFormatPr baseColWidth="10" defaultColWidth="10.5" defaultRowHeight="15"/>
  <cols>
    <col min="1" max="1" width="9" customWidth="1"/>
    <col min="933" max="1022" width="9.1640625" customWidth="1"/>
  </cols>
  <sheetData>
    <row r="1" spans="1:511">
      <c r="A1">
        <v>510000</v>
      </c>
      <c r="B1" s="52">
        <f>A1-1000</f>
        <v>509000</v>
      </c>
      <c r="C1" s="52">
        <f t="shared" ref="C1:BN1" si="0">B1-1000</f>
        <v>508000</v>
      </c>
      <c r="D1" s="52">
        <f t="shared" si="0"/>
        <v>507000</v>
      </c>
      <c r="E1" s="52">
        <f t="shared" si="0"/>
        <v>506000</v>
      </c>
      <c r="F1" s="52">
        <f t="shared" si="0"/>
        <v>505000</v>
      </c>
      <c r="G1" s="52">
        <f t="shared" si="0"/>
        <v>504000</v>
      </c>
      <c r="H1" s="52">
        <f t="shared" si="0"/>
        <v>503000</v>
      </c>
      <c r="I1" s="52">
        <f t="shared" si="0"/>
        <v>502000</v>
      </c>
      <c r="J1" s="52">
        <f t="shared" si="0"/>
        <v>501000</v>
      </c>
      <c r="K1" s="52">
        <f t="shared" si="0"/>
        <v>500000</v>
      </c>
      <c r="L1" s="52">
        <f t="shared" si="0"/>
        <v>499000</v>
      </c>
      <c r="M1" s="52">
        <f t="shared" si="0"/>
        <v>498000</v>
      </c>
      <c r="N1" s="52">
        <f t="shared" si="0"/>
        <v>497000</v>
      </c>
      <c r="O1" s="52">
        <f t="shared" si="0"/>
        <v>496000</v>
      </c>
      <c r="P1" s="52">
        <f t="shared" si="0"/>
        <v>495000</v>
      </c>
      <c r="Q1" s="52">
        <f t="shared" si="0"/>
        <v>494000</v>
      </c>
      <c r="R1" s="52">
        <f t="shared" si="0"/>
        <v>493000</v>
      </c>
      <c r="S1" s="52">
        <f t="shared" si="0"/>
        <v>492000</v>
      </c>
      <c r="T1" s="52">
        <f t="shared" si="0"/>
        <v>491000</v>
      </c>
      <c r="U1" s="52">
        <f t="shared" si="0"/>
        <v>490000</v>
      </c>
      <c r="V1" s="52">
        <f t="shared" si="0"/>
        <v>489000</v>
      </c>
      <c r="W1" s="52">
        <f t="shared" si="0"/>
        <v>488000</v>
      </c>
      <c r="X1" s="52">
        <f t="shared" si="0"/>
        <v>487000</v>
      </c>
      <c r="Y1" s="52">
        <f t="shared" si="0"/>
        <v>486000</v>
      </c>
      <c r="Z1" s="52">
        <f t="shared" si="0"/>
        <v>485000</v>
      </c>
      <c r="AA1" s="52">
        <f t="shared" si="0"/>
        <v>484000</v>
      </c>
      <c r="AB1" s="52">
        <f t="shared" si="0"/>
        <v>483000</v>
      </c>
      <c r="AC1" s="52">
        <f t="shared" si="0"/>
        <v>482000</v>
      </c>
      <c r="AD1" s="52">
        <f t="shared" si="0"/>
        <v>481000</v>
      </c>
      <c r="AE1" s="52">
        <f t="shared" si="0"/>
        <v>480000</v>
      </c>
      <c r="AF1" s="52">
        <f t="shared" si="0"/>
        <v>479000</v>
      </c>
      <c r="AG1" s="52">
        <f t="shared" si="0"/>
        <v>478000</v>
      </c>
      <c r="AH1" s="52">
        <f t="shared" si="0"/>
        <v>477000</v>
      </c>
      <c r="AI1" s="52">
        <f t="shared" si="0"/>
        <v>476000</v>
      </c>
      <c r="AJ1" s="52">
        <f t="shared" si="0"/>
        <v>475000</v>
      </c>
      <c r="AK1" s="52">
        <f t="shared" si="0"/>
        <v>474000</v>
      </c>
      <c r="AL1" s="52">
        <f t="shared" si="0"/>
        <v>473000</v>
      </c>
      <c r="AM1" s="52">
        <f t="shared" si="0"/>
        <v>472000</v>
      </c>
      <c r="AN1" s="52">
        <f t="shared" si="0"/>
        <v>471000</v>
      </c>
      <c r="AO1" s="52">
        <f t="shared" si="0"/>
        <v>470000</v>
      </c>
      <c r="AP1" s="52">
        <f t="shared" si="0"/>
        <v>469000</v>
      </c>
      <c r="AQ1" s="52">
        <f t="shared" si="0"/>
        <v>468000</v>
      </c>
      <c r="AR1" s="52">
        <f t="shared" si="0"/>
        <v>467000</v>
      </c>
      <c r="AS1" s="52">
        <f t="shared" si="0"/>
        <v>466000</v>
      </c>
      <c r="AT1" s="52">
        <f t="shared" si="0"/>
        <v>465000</v>
      </c>
      <c r="AU1" s="52">
        <f t="shared" si="0"/>
        <v>464000</v>
      </c>
      <c r="AV1" s="52">
        <f t="shared" si="0"/>
        <v>463000</v>
      </c>
      <c r="AW1" s="52">
        <f t="shared" si="0"/>
        <v>462000</v>
      </c>
      <c r="AX1" s="52">
        <f t="shared" si="0"/>
        <v>461000</v>
      </c>
      <c r="AY1" s="52">
        <f t="shared" si="0"/>
        <v>460000</v>
      </c>
      <c r="AZ1" s="52">
        <f t="shared" si="0"/>
        <v>459000</v>
      </c>
      <c r="BA1" s="52">
        <f t="shared" si="0"/>
        <v>458000</v>
      </c>
      <c r="BB1" s="52">
        <f t="shared" si="0"/>
        <v>457000</v>
      </c>
      <c r="BC1" s="52">
        <f t="shared" si="0"/>
        <v>456000</v>
      </c>
      <c r="BD1" s="52">
        <f t="shared" si="0"/>
        <v>455000</v>
      </c>
      <c r="BE1" s="52">
        <f t="shared" si="0"/>
        <v>454000</v>
      </c>
      <c r="BF1" s="52">
        <f t="shared" si="0"/>
        <v>453000</v>
      </c>
      <c r="BG1" s="52">
        <f t="shared" si="0"/>
        <v>452000</v>
      </c>
      <c r="BH1" s="52">
        <f t="shared" si="0"/>
        <v>451000</v>
      </c>
      <c r="BI1" s="52">
        <f t="shared" si="0"/>
        <v>450000</v>
      </c>
      <c r="BJ1" s="52">
        <f t="shared" si="0"/>
        <v>449000</v>
      </c>
      <c r="BK1" s="52">
        <f t="shared" si="0"/>
        <v>448000</v>
      </c>
      <c r="BL1" s="52">
        <f t="shared" si="0"/>
        <v>447000</v>
      </c>
      <c r="BM1" s="52">
        <f t="shared" si="0"/>
        <v>446000</v>
      </c>
      <c r="BN1" s="52">
        <f t="shared" si="0"/>
        <v>445000</v>
      </c>
      <c r="BO1" s="52">
        <f t="shared" ref="BO1:DZ1" si="1">BN1-1000</f>
        <v>444000</v>
      </c>
      <c r="BP1" s="52">
        <f t="shared" si="1"/>
        <v>443000</v>
      </c>
      <c r="BQ1" s="52">
        <f t="shared" si="1"/>
        <v>442000</v>
      </c>
      <c r="BR1" s="52">
        <f t="shared" si="1"/>
        <v>441000</v>
      </c>
      <c r="BS1" s="52">
        <f t="shared" si="1"/>
        <v>440000</v>
      </c>
      <c r="BT1" s="52">
        <f t="shared" si="1"/>
        <v>439000</v>
      </c>
      <c r="BU1" s="52">
        <f t="shared" si="1"/>
        <v>438000</v>
      </c>
      <c r="BV1" s="52">
        <f t="shared" si="1"/>
        <v>437000</v>
      </c>
      <c r="BW1" s="52">
        <f t="shared" si="1"/>
        <v>436000</v>
      </c>
      <c r="BX1" s="52">
        <f t="shared" si="1"/>
        <v>435000</v>
      </c>
      <c r="BY1" s="52">
        <f t="shared" si="1"/>
        <v>434000</v>
      </c>
      <c r="BZ1" s="52">
        <f t="shared" si="1"/>
        <v>433000</v>
      </c>
      <c r="CA1" s="52">
        <f t="shared" si="1"/>
        <v>432000</v>
      </c>
      <c r="CB1" s="52">
        <f t="shared" si="1"/>
        <v>431000</v>
      </c>
      <c r="CC1" s="52">
        <f t="shared" si="1"/>
        <v>430000</v>
      </c>
      <c r="CD1" s="52">
        <f t="shared" si="1"/>
        <v>429000</v>
      </c>
      <c r="CE1" s="52">
        <f t="shared" si="1"/>
        <v>428000</v>
      </c>
      <c r="CF1" s="52">
        <f t="shared" si="1"/>
        <v>427000</v>
      </c>
      <c r="CG1" s="52">
        <f t="shared" si="1"/>
        <v>426000</v>
      </c>
      <c r="CH1" s="52">
        <f t="shared" si="1"/>
        <v>425000</v>
      </c>
      <c r="CI1" s="52">
        <f t="shared" si="1"/>
        <v>424000</v>
      </c>
      <c r="CJ1" s="52">
        <f t="shared" si="1"/>
        <v>423000</v>
      </c>
      <c r="CK1" s="52">
        <f t="shared" si="1"/>
        <v>422000</v>
      </c>
      <c r="CL1" s="52">
        <f t="shared" si="1"/>
        <v>421000</v>
      </c>
      <c r="CM1" s="52">
        <f t="shared" si="1"/>
        <v>420000</v>
      </c>
      <c r="CN1" s="52">
        <f t="shared" si="1"/>
        <v>419000</v>
      </c>
      <c r="CO1" s="52">
        <f t="shared" si="1"/>
        <v>418000</v>
      </c>
      <c r="CP1" s="52">
        <f t="shared" si="1"/>
        <v>417000</v>
      </c>
      <c r="CQ1" s="52">
        <f t="shared" si="1"/>
        <v>416000</v>
      </c>
      <c r="CR1" s="52">
        <f t="shared" si="1"/>
        <v>415000</v>
      </c>
      <c r="CS1" s="52">
        <f t="shared" si="1"/>
        <v>414000</v>
      </c>
      <c r="CT1" s="52">
        <f t="shared" si="1"/>
        <v>413000</v>
      </c>
      <c r="CU1" s="52">
        <f t="shared" si="1"/>
        <v>412000</v>
      </c>
      <c r="CV1" s="52">
        <f t="shared" si="1"/>
        <v>411000</v>
      </c>
      <c r="CW1" s="52">
        <f t="shared" si="1"/>
        <v>410000</v>
      </c>
      <c r="CX1" s="52">
        <f t="shared" si="1"/>
        <v>409000</v>
      </c>
      <c r="CY1" s="52">
        <f t="shared" si="1"/>
        <v>408000</v>
      </c>
      <c r="CZ1" s="52">
        <f t="shared" si="1"/>
        <v>407000</v>
      </c>
      <c r="DA1" s="52">
        <f t="shared" si="1"/>
        <v>406000</v>
      </c>
      <c r="DB1" s="52">
        <f t="shared" si="1"/>
        <v>405000</v>
      </c>
      <c r="DC1" s="52">
        <f t="shared" si="1"/>
        <v>404000</v>
      </c>
      <c r="DD1" s="52">
        <f t="shared" si="1"/>
        <v>403000</v>
      </c>
      <c r="DE1" s="52">
        <f t="shared" si="1"/>
        <v>402000</v>
      </c>
      <c r="DF1" s="52">
        <f t="shared" si="1"/>
        <v>401000</v>
      </c>
      <c r="DG1" s="52">
        <f t="shared" si="1"/>
        <v>400000</v>
      </c>
      <c r="DH1" s="52">
        <f t="shared" si="1"/>
        <v>399000</v>
      </c>
      <c r="DI1" s="52">
        <f t="shared" si="1"/>
        <v>398000</v>
      </c>
      <c r="DJ1" s="52">
        <f t="shared" si="1"/>
        <v>397000</v>
      </c>
      <c r="DK1" s="52">
        <f t="shared" si="1"/>
        <v>396000</v>
      </c>
      <c r="DL1" s="52">
        <f t="shared" si="1"/>
        <v>395000</v>
      </c>
      <c r="DM1" s="52">
        <f t="shared" si="1"/>
        <v>394000</v>
      </c>
      <c r="DN1" s="52">
        <f t="shared" si="1"/>
        <v>393000</v>
      </c>
      <c r="DO1" s="52">
        <f t="shared" si="1"/>
        <v>392000</v>
      </c>
      <c r="DP1" s="52">
        <f t="shared" si="1"/>
        <v>391000</v>
      </c>
      <c r="DQ1" s="52">
        <f t="shared" si="1"/>
        <v>390000</v>
      </c>
      <c r="DR1" s="52">
        <f t="shared" si="1"/>
        <v>389000</v>
      </c>
      <c r="DS1" s="52">
        <f t="shared" si="1"/>
        <v>388000</v>
      </c>
      <c r="DT1" s="52">
        <f t="shared" si="1"/>
        <v>387000</v>
      </c>
      <c r="DU1" s="52">
        <f t="shared" si="1"/>
        <v>386000</v>
      </c>
      <c r="DV1" s="52">
        <f t="shared" si="1"/>
        <v>385000</v>
      </c>
      <c r="DW1" s="52">
        <f t="shared" si="1"/>
        <v>384000</v>
      </c>
      <c r="DX1" s="52">
        <f t="shared" si="1"/>
        <v>383000</v>
      </c>
      <c r="DY1" s="52">
        <f t="shared" si="1"/>
        <v>382000</v>
      </c>
      <c r="DZ1" s="52">
        <f t="shared" si="1"/>
        <v>381000</v>
      </c>
      <c r="EA1" s="52">
        <f t="shared" ref="EA1:GL1" si="2">DZ1-1000</f>
        <v>380000</v>
      </c>
      <c r="EB1" s="52">
        <f t="shared" si="2"/>
        <v>379000</v>
      </c>
      <c r="EC1" s="52">
        <f t="shared" si="2"/>
        <v>378000</v>
      </c>
      <c r="ED1" s="52">
        <f t="shared" si="2"/>
        <v>377000</v>
      </c>
      <c r="EE1" s="52">
        <f t="shared" si="2"/>
        <v>376000</v>
      </c>
      <c r="EF1" s="52">
        <f t="shared" si="2"/>
        <v>375000</v>
      </c>
      <c r="EG1" s="52">
        <f t="shared" si="2"/>
        <v>374000</v>
      </c>
      <c r="EH1" s="52">
        <f t="shared" si="2"/>
        <v>373000</v>
      </c>
      <c r="EI1" s="52">
        <f t="shared" si="2"/>
        <v>372000</v>
      </c>
      <c r="EJ1" s="52">
        <f t="shared" si="2"/>
        <v>371000</v>
      </c>
      <c r="EK1" s="52">
        <f t="shared" si="2"/>
        <v>370000</v>
      </c>
      <c r="EL1" s="52">
        <f t="shared" si="2"/>
        <v>369000</v>
      </c>
      <c r="EM1" s="52">
        <f t="shared" si="2"/>
        <v>368000</v>
      </c>
      <c r="EN1" s="52">
        <f t="shared" si="2"/>
        <v>367000</v>
      </c>
      <c r="EO1" s="52">
        <f t="shared" si="2"/>
        <v>366000</v>
      </c>
      <c r="EP1" s="52">
        <f t="shared" si="2"/>
        <v>365000</v>
      </c>
      <c r="EQ1" s="52">
        <f t="shared" si="2"/>
        <v>364000</v>
      </c>
      <c r="ER1" s="52">
        <f t="shared" si="2"/>
        <v>363000</v>
      </c>
      <c r="ES1" s="52">
        <f t="shared" si="2"/>
        <v>362000</v>
      </c>
      <c r="ET1" s="52">
        <f t="shared" si="2"/>
        <v>361000</v>
      </c>
      <c r="EU1" s="52">
        <f t="shared" si="2"/>
        <v>360000</v>
      </c>
      <c r="EV1" s="52">
        <f t="shared" si="2"/>
        <v>359000</v>
      </c>
      <c r="EW1" s="52">
        <f t="shared" si="2"/>
        <v>358000</v>
      </c>
      <c r="EX1" s="52">
        <f t="shared" si="2"/>
        <v>357000</v>
      </c>
      <c r="EY1" s="52">
        <f t="shared" si="2"/>
        <v>356000</v>
      </c>
      <c r="EZ1" s="52">
        <f t="shared" si="2"/>
        <v>355000</v>
      </c>
      <c r="FA1" s="52">
        <f t="shared" si="2"/>
        <v>354000</v>
      </c>
      <c r="FB1" s="52">
        <f t="shared" si="2"/>
        <v>353000</v>
      </c>
      <c r="FC1" s="52">
        <f t="shared" si="2"/>
        <v>352000</v>
      </c>
      <c r="FD1" s="52">
        <f t="shared" si="2"/>
        <v>351000</v>
      </c>
      <c r="FE1" s="52">
        <f t="shared" si="2"/>
        <v>350000</v>
      </c>
      <c r="FF1" s="52">
        <f t="shared" si="2"/>
        <v>349000</v>
      </c>
      <c r="FG1" s="52">
        <f t="shared" si="2"/>
        <v>348000</v>
      </c>
      <c r="FH1" s="52">
        <f t="shared" si="2"/>
        <v>347000</v>
      </c>
      <c r="FI1" s="52">
        <f t="shared" si="2"/>
        <v>346000</v>
      </c>
      <c r="FJ1" s="52">
        <f t="shared" si="2"/>
        <v>345000</v>
      </c>
      <c r="FK1" s="52">
        <f t="shared" si="2"/>
        <v>344000</v>
      </c>
      <c r="FL1" s="52">
        <f t="shared" si="2"/>
        <v>343000</v>
      </c>
      <c r="FM1" s="52">
        <f t="shared" si="2"/>
        <v>342000</v>
      </c>
      <c r="FN1" s="52">
        <f t="shared" si="2"/>
        <v>341000</v>
      </c>
      <c r="FO1" s="52">
        <f t="shared" si="2"/>
        <v>340000</v>
      </c>
      <c r="FP1" s="52">
        <f t="shared" si="2"/>
        <v>339000</v>
      </c>
      <c r="FQ1" s="52">
        <f t="shared" si="2"/>
        <v>338000</v>
      </c>
      <c r="FR1" s="52">
        <f t="shared" si="2"/>
        <v>337000</v>
      </c>
      <c r="FS1" s="52">
        <f t="shared" si="2"/>
        <v>336000</v>
      </c>
      <c r="FT1" s="52">
        <f t="shared" si="2"/>
        <v>335000</v>
      </c>
      <c r="FU1" s="52">
        <f t="shared" si="2"/>
        <v>334000</v>
      </c>
      <c r="FV1" s="52">
        <f t="shared" si="2"/>
        <v>333000</v>
      </c>
      <c r="FW1" s="52">
        <f t="shared" si="2"/>
        <v>332000</v>
      </c>
      <c r="FX1" s="52">
        <f t="shared" si="2"/>
        <v>331000</v>
      </c>
      <c r="FY1" s="52">
        <f t="shared" si="2"/>
        <v>330000</v>
      </c>
      <c r="FZ1" s="52">
        <f t="shared" si="2"/>
        <v>329000</v>
      </c>
      <c r="GA1" s="52">
        <f t="shared" si="2"/>
        <v>328000</v>
      </c>
      <c r="GB1" s="52">
        <f t="shared" si="2"/>
        <v>327000</v>
      </c>
      <c r="GC1" s="52">
        <f t="shared" si="2"/>
        <v>326000</v>
      </c>
      <c r="GD1" s="52">
        <f t="shared" si="2"/>
        <v>325000</v>
      </c>
      <c r="GE1" s="52">
        <f t="shared" si="2"/>
        <v>324000</v>
      </c>
      <c r="GF1" s="52">
        <f t="shared" si="2"/>
        <v>323000</v>
      </c>
      <c r="GG1" s="52">
        <f t="shared" si="2"/>
        <v>322000</v>
      </c>
      <c r="GH1" s="52">
        <f t="shared" si="2"/>
        <v>321000</v>
      </c>
      <c r="GI1" s="52">
        <f t="shared" si="2"/>
        <v>320000</v>
      </c>
      <c r="GJ1" s="52">
        <f t="shared" si="2"/>
        <v>319000</v>
      </c>
      <c r="GK1" s="52">
        <f t="shared" si="2"/>
        <v>318000</v>
      </c>
      <c r="GL1" s="52">
        <f t="shared" si="2"/>
        <v>317000</v>
      </c>
      <c r="GM1" s="52">
        <f t="shared" ref="GM1:IX1" si="3">GL1-1000</f>
        <v>316000</v>
      </c>
      <c r="GN1" s="52">
        <f t="shared" si="3"/>
        <v>315000</v>
      </c>
      <c r="GO1" s="52">
        <f t="shared" si="3"/>
        <v>314000</v>
      </c>
      <c r="GP1" s="52">
        <f t="shared" si="3"/>
        <v>313000</v>
      </c>
      <c r="GQ1" s="52">
        <f t="shared" si="3"/>
        <v>312000</v>
      </c>
      <c r="GR1" s="52">
        <f t="shared" si="3"/>
        <v>311000</v>
      </c>
      <c r="GS1" s="52">
        <f t="shared" si="3"/>
        <v>310000</v>
      </c>
      <c r="GT1" s="52">
        <f t="shared" si="3"/>
        <v>309000</v>
      </c>
      <c r="GU1" s="52">
        <f t="shared" si="3"/>
        <v>308000</v>
      </c>
      <c r="GV1" s="52">
        <f t="shared" si="3"/>
        <v>307000</v>
      </c>
      <c r="GW1" s="52">
        <f t="shared" si="3"/>
        <v>306000</v>
      </c>
      <c r="GX1" s="52">
        <f t="shared" si="3"/>
        <v>305000</v>
      </c>
      <c r="GY1" s="52">
        <f t="shared" si="3"/>
        <v>304000</v>
      </c>
      <c r="GZ1" s="52">
        <f t="shared" si="3"/>
        <v>303000</v>
      </c>
      <c r="HA1" s="52">
        <f t="shared" si="3"/>
        <v>302000</v>
      </c>
      <c r="HB1" s="52">
        <f t="shared" si="3"/>
        <v>301000</v>
      </c>
      <c r="HC1" s="52">
        <f t="shared" si="3"/>
        <v>300000</v>
      </c>
      <c r="HD1" s="52">
        <f t="shared" si="3"/>
        <v>299000</v>
      </c>
      <c r="HE1" s="52">
        <f t="shared" si="3"/>
        <v>298000</v>
      </c>
      <c r="HF1" s="52">
        <f t="shared" si="3"/>
        <v>297000</v>
      </c>
      <c r="HG1" s="52">
        <f t="shared" si="3"/>
        <v>296000</v>
      </c>
      <c r="HH1" s="52">
        <f t="shared" si="3"/>
        <v>295000</v>
      </c>
      <c r="HI1" s="52">
        <f t="shared" si="3"/>
        <v>294000</v>
      </c>
      <c r="HJ1" s="52">
        <f t="shared" si="3"/>
        <v>293000</v>
      </c>
      <c r="HK1" s="52">
        <f t="shared" si="3"/>
        <v>292000</v>
      </c>
      <c r="HL1" s="52">
        <f t="shared" si="3"/>
        <v>291000</v>
      </c>
      <c r="HM1" s="52">
        <f t="shared" si="3"/>
        <v>290000</v>
      </c>
      <c r="HN1" s="52">
        <f t="shared" si="3"/>
        <v>289000</v>
      </c>
      <c r="HO1" s="52">
        <f t="shared" si="3"/>
        <v>288000</v>
      </c>
      <c r="HP1" s="52">
        <f t="shared" si="3"/>
        <v>287000</v>
      </c>
      <c r="HQ1" s="52">
        <f t="shared" si="3"/>
        <v>286000</v>
      </c>
      <c r="HR1" s="52">
        <f t="shared" si="3"/>
        <v>285000</v>
      </c>
      <c r="HS1" s="52">
        <f t="shared" si="3"/>
        <v>284000</v>
      </c>
      <c r="HT1" s="52">
        <f t="shared" si="3"/>
        <v>283000</v>
      </c>
      <c r="HU1" s="52">
        <f t="shared" si="3"/>
        <v>282000</v>
      </c>
      <c r="HV1" s="52">
        <f t="shared" si="3"/>
        <v>281000</v>
      </c>
      <c r="HW1" s="52">
        <f t="shared" si="3"/>
        <v>280000</v>
      </c>
      <c r="HX1" s="52">
        <f t="shared" si="3"/>
        <v>279000</v>
      </c>
      <c r="HY1" s="52">
        <f t="shared" si="3"/>
        <v>278000</v>
      </c>
      <c r="HZ1" s="52">
        <f t="shared" si="3"/>
        <v>277000</v>
      </c>
      <c r="IA1" s="52">
        <f t="shared" si="3"/>
        <v>276000</v>
      </c>
      <c r="IB1" s="52">
        <f t="shared" si="3"/>
        <v>275000</v>
      </c>
      <c r="IC1" s="52">
        <f t="shared" si="3"/>
        <v>274000</v>
      </c>
      <c r="ID1" s="52">
        <f t="shared" si="3"/>
        <v>273000</v>
      </c>
      <c r="IE1" s="52">
        <f t="shared" si="3"/>
        <v>272000</v>
      </c>
      <c r="IF1" s="52">
        <f t="shared" si="3"/>
        <v>271000</v>
      </c>
      <c r="IG1" s="52">
        <f t="shared" si="3"/>
        <v>270000</v>
      </c>
      <c r="IH1" s="52">
        <f t="shared" si="3"/>
        <v>269000</v>
      </c>
      <c r="II1" s="52">
        <f t="shared" si="3"/>
        <v>268000</v>
      </c>
      <c r="IJ1" s="52">
        <f t="shared" si="3"/>
        <v>267000</v>
      </c>
      <c r="IK1" s="52">
        <f t="shared" si="3"/>
        <v>266000</v>
      </c>
      <c r="IL1" s="52">
        <f t="shared" si="3"/>
        <v>265000</v>
      </c>
      <c r="IM1" s="52">
        <f t="shared" si="3"/>
        <v>264000</v>
      </c>
      <c r="IN1" s="52">
        <f t="shared" si="3"/>
        <v>263000</v>
      </c>
      <c r="IO1" s="52">
        <f t="shared" si="3"/>
        <v>262000</v>
      </c>
      <c r="IP1" s="52">
        <f t="shared" si="3"/>
        <v>261000</v>
      </c>
      <c r="IQ1" s="52">
        <f t="shared" si="3"/>
        <v>260000</v>
      </c>
      <c r="IR1" s="52">
        <f t="shared" si="3"/>
        <v>259000</v>
      </c>
      <c r="IS1" s="52">
        <f t="shared" si="3"/>
        <v>258000</v>
      </c>
      <c r="IT1" s="52">
        <f t="shared" si="3"/>
        <v>257000</v>
      </c>
      <c r="IU1" s="52">
        <f t="shared" si="3"/>
        <v>256000</v>
      </c>
      <c r="IV1" s="52">
        <f t="shared" si="3"/>
        <v>255000</v>
      </c>
      <c r="IW1" s="52">
        <f t="shared" si="3"/>
        <v>254000</v>
      </c>
      <c r="IX1" s="52">
        <f t="shared" si="3"/>
        <v>253000</v>
      </c>
      <c r="IY1" s="52">
        <f t="shared" ref="IY1:LJ1" si="4">IX1-1000</f>
        <v>252000</v>
      </c>
      <c r="IZ1" s="52">
        <f t="shared" si="4"/>
        <v>251000</v>
      </c>
      <c r="JA1" s="52">
        <f t="shared" si="4"/>
        <v>250000</v>
      </c>
      <c r="JB1" s="52">
        <f t="shared" si="4"/>
        <v>249000</v>
      </c>
      <c r="JC1" s="52">
        <f t="shared" si="4"/>
        <v>248000</v>
      </c>
      <c r="JD1" s="52">
        <f t="shared" si="4"/>
        <v>247000</v>
      </c>
      <c r="JE1" s="52">
        <f t="shared" si="4"/>
        <v>246000</v>
      </c>
      <c r="JF1" s="52">
        <f t="shared" si="4"/>
        <v>245000</v>
      </c>
      <c r="JG1" s="52">
        <f t="shared" si="4"/>
        <v>244000</v>
      </c>
      <c r="JH1" s="52">
        <f t="shared" si="4"/>
        <v>243000</v>
      </c>
      <c r="JI1" s="52">
        <f t="shared" si="4"/>
        <v>242000</v>
      </c>
      <c r="JJ1" s="52">
        <f t="shared" si="4"/>
        <v>241000</v>
      </c>
      <c r="JK1" s="52">
        <f t="shared" si="4"/>
        <v>240000</v>
      </c>
      <c r="JL1" s="52">
        <f t="shared" si="4"/>
        <v>239000</v>
      </c>
      <c r="JM1" s="52">
        <f t="shared" si="4"/>
        <v>238000</v>
      </c>
      <c r="JN1" s="52">
        <f t="shared" si="4"/>
        <v>237000</v>
      </c>
      <c r="JO1" s="52">
        <f t="shared" si="4"/>
        <v>236000</v>
      </c>
      <c r="JP1" s="52">
        <f t="shared" si="4"/>
        <v>235000</v>
      </c>
      <c r="JQ1" s="52">
        <f t="shared" si="4"/>
        <v>234000</v>
      </c>
      <c r="JR1" s="52">
        <f t="shared" si="4"/>
        <v>233000</v>
      </c>
      <c r="JS1" s="52">
        <f t="shared" si="4"/>
        <v>232000</v>
      </c>
      <c r="JT1" s="52">
        <f t="shared" si="4"/>
        <v>231000</v>
      </c>
      <c r="JU1" s="52">
        <f t="shared" si="4"/>
        <v>230000</v>
      </c>
      <c r="JV1" s="52">
        <f t="shared" si="4"/>
        <v>229000</v>
      </c>
      <c r="JW1" s="52">
        <f t="shared" si="4"/>
        <v>228000</v>
      </c>
      <c r="JX1" s="52">
        <f t="shared" si="4"/>
        <v>227000</v>
      </c>
      <c r="JY1" s="52">
        <f t="shared" si="4"/>
        <v>226000</v>
      </c>
      <c r="JZ1" s="52">
        <f t="shared" si="4"/>
        <v>225000</v>
      </c>
      <c r="KA1" s="52">
        <f t="shared" si="4"/>
        <v>224000</v>
      </c>
      <c r="KB1" s="52">
        <f t="shared" si="4"/>
        <v>223000</v>
      </c>
      <c r="KC1" s="52">
        <f t="shared" si="4"/>
        <v>222000</v>
      </c>
      <c r="KD1" s="52">
        <f t="shared" si="4"/>
        <v>221000</v>
      </c>
      <c r="KE1" s="52">
        <f t="shared" si="4"/>
        <v>220000</v>
      </c>
      <c r="KF1" s="52">
        <f t="shared" si="4"/>
        <v>219000</v>
      </c>
      <c r="KG1" s="52">
        <f t="shared" si="4"/>
        <v>218000</v>
      </c>
      <c r="KH1" s="52">
        <f t="shared" si="4"/>
        <v>217000</v>
      </c>
      <c r="KI1" s="52">
        <f t="shared" si="4"/>
        <v>216000</v>
      </c>
      <c r="KJ1" s="52">
        <f t="shared" si="4"/>
        <v>215000</v>
      </c>
      <c r="KK1" s="52">
        <f t="shared" si="4"/>
        <v>214000</v>
      </c>
      <c r="KL1" s="52">
        <f t="shared" si="4"/>
        <v>213000</v>
      </c>
      <c r="KM1" s="52">
        <f t="shared" si="4"/>
        <v>212000</v>
      </c>
      <c r="KN1" s="52">
        <f t="shared" si="4"/>
        <v>211000</v>
      </c>
      <c r="KO1" s="52">
        <f t="shared" si="4"/>
        <v>210000</v>
      </c>
      <c r="KP1" s="52">
        <f t="shared" si="4"/>
        <v>209000</v>
      </c>
      <c r="KQ1" s="52">
        <f t="shared" si="4"/>
        <v>208000</v>
      </c>
      <c r="KR1" s="52">
        <f t="shared" si="4"/>
        <v>207000</v>
      </c>
      <c r="KS1" s="52">
        <f t="shared" si="4"/>
        <v>206000</v>
      </c>
      <c r="KT1" s="52">
        <f t="shared" si="4"/>
        <v>205000</v>
      </c>
      <c r="KU1" s="52">
        <f t="shared" si="4"/>
        <v>204000</v>
      </c>
      <c r="KV1" s="52">
        <f t="shared" si="4"/>
        <v>203000</v>
      </c>
      <c r="KW1" s="52">
        <f t="shared" si="4"/>
        <v>202000</v>
      </c>
      <c r="KX1" s="52">
        <f t="shared" si="4"/>
        <v>201000</v>
      </c>
      <c r="KY1" s="52">
        <f t="shared" si="4"/>
        <v>200000</v>
      </c>
      <c r="KZ1" s="52">
        <f t="shared" si="4"/>
        <v>199000</v>
      </c>
      <c r="LA1" s="52">
        <f t="shared" si="4"/>
        <v>198000</v>
      </c>
      <c r="LB1" s="52">
        <f t="shared" si="4"/>
        <v>197000</v>
      </c>
      <c r="LC1" s="52">
        <f t="shared" si="4"/>
        <v>196000</v>
      </c>
      <c r="LD1" s="52">
        <f t="shared" si="4"/>
        <v>195000</v>
      </c>
      <c r="LE1" s="52">
        <f t="shared" si="4"/>
        <v>194000</v>
      </c>
      <c r="LF1" s="52">
        <f t="shared" si="4"/>
        <v>193000</v>
      </c>
      <c r="LG1" s="52">
        <f t="shared" si="4"/>
        <v>192000</v>
      </c>
      <c r="LH1" s="52">
        <f t="shared" si="4"/>
        <v>191000</v>
      </c>
      <c r="LI1" s="52">
        <f t="shared" si="4"/>
        <v>190000</v>
      </c>
      <c r="LJ1" s="52">
        <f t="shared" si="4"/>
        <v>189000</v>
      </c>
      <c r="LK1" s="52">
        <f t="shared" ref="LK1:NV1" si="5">LJ1-1000</f>
        <v>188000</v>
      </c>
      <c r="LL1" s="52">
        <f t="shared" si="5"/>
        <v>187000</v>
      </c>
      <c r="LM1" s="52">
        <f t="shared" si="5"/>
        <v>186000</v>
      </c>
      <c r="LN1" s="52">
        <f t="shared" si="5"/>
        <v>185000</v>
      </c>
      <c r="LO1" s="52">
        <f t="shared" si="5"/>
        <v>184000</v>
      </c>
      <c r="LP1" s="52">
        <f t="shared" si="5"/>
        <v>183000</v>
      </c>
      <c r="LQ1" s="52">
        <f t="shared" si="5"/>
        <v>182000</v>
      </c>
      <c r="LR1" s="52">
        <f t="shared" si="5"/>
        <v>181000</v>
      </c>
      <c r="LS1" s="52">
        <f t="shared" si="5"/>
        <v>180000</v>
      </c>
      <c r="LT1" s="52">
        <f t="shared" si="5"/>
        <v>179000</v>
      </c>
      <c r="LU1" s="52">
        <f t="shared" si="5"/>
        <v>178000</v>
      </c>
      <c r="LV1" s="52">
        <f t="shared" si="5"/>
        <v>177000</v>
      </c>
      <c r="LW1" s="52">
        <f t="shared" si="5"/>
        <v>176000</v>
      </c>
      <c r="LX1" s="52">
        <f t="shared" si="5"/>
        <v>175000</v>
      </c>
      <c r="LY1" s="52">
        <f t="shared" si="5"/>
        <v>174000</v>
      </c>
      <c r="LZ1" s="52">
        <f t="shared" si="5"/>
        <v>173000</v>
      </c>
      <c r="MA1" s="52">
        <f t="shared" si="5"/>
        <v>172000</v>
      </c>
      <c r="MB1" s="52">
        <f t="shared" si="5"/>
        <v>171000</v>
      </c>
      <c r="MC1" s="52">
        <f t="shared" si="5"/>
        <v>170000</v>
      </c>
      <c r="MD1" s="52">
        <f t="shared" si="5"/>
        <v>169000</v>
      </c>
      <c r="ME1" s="52">
        <f t="shared" si="5"/>
        <v>168000</v>
      </c>
      <c r="MF1" s="52">
        <f t="shared" si="5"/>
        <v>167000</v>
      </c>
      <c r="MG1" s="52">
        <f t="shared" si="5"/>
        <v>166000</v>
      </c>
      <c r="MH1" s="52">
        <f t="shared" si="5"/>
        <v>165000</v>
      </c>
      <c r="MI1" s="52">
        <f t="shared" si="5"/>
        <v>164000</v>
      </c>
      <c r="MJ1" s="52">
        <f t="shared" si="5"/>
        <v>163000</v>
      </c>
      <c r="MK1" s="52">
        <f t="shared" si="5"/>
        <v>162000</v>
      </c>
      <c r="ML1" s="52">
        <f t="shared" si="5"/>
        <v>161000</v>
      </c>
      <c r="MM1" s="52">
        <f t="shared" si="5"/>
        <v>160000</v>
      </c>
      <c r="MN1" s="52">
        <f t="shared" si="5"/>
        <v>159000</v>
      </c>
      <c r="MO1" s="52">
        <f t="shared" si="5"/>
        <v>158000</v>
      </c>
      <c r="MP1" s="52">
        <f t="shared" si="5"/>
        <v>157000</v>
      </c>
      <c r="MQ1" s="52">
        <f t="shared" si="5"/>
        <v>156000</v>
      </c>
      <c r="MR1" s="52">
        <f t="shared" si="5"/>
        <v>155000</v>
      </c>
      <c r="MS1" s="52">
        <f t="shared" si="5"/>
        <v>154000</v>
      </c>
      <c r="MT1" s="52">
        <f t="shared" si="5"/>
        <v>153000</v>
      </c>
      <c r="MU1" s="52">
        <f t="shared" si="5"/>
        <v>152000</v>
      </c>
      <c r="MV1" s="52">
        <f t="shared" si="5"/>
        <v>151000</v>
      </c>
      <c r="MW1" s="52">
        <f t="shared" si="5"/>
        <v>150000</v>
      </c>
      <c r="MX1" s="52">
        <f t="shared" si="5"/>
        <v>149000</v>
      </c>
      <c r="MY1" s="52">
        <f t="shared" si="5"/>
        <v>148000</v>
      </c>
      <c r="MZ1" s="52">
        <f t="shared" si="5"/>
        <v>147000</v>
      </c>
      <c r="NA1" s="52">
        <f t="shared" si="5"/>
        <v>146000</v>
      </c>
      <c r="NB1" s="52">
        <f t="shared" si="5"/>
        <v>145000</v>
      </c>
      <c r="NC1" s="52">
        <f t="shared" si="5"/>
        <v>144000</v>
      </c>
      <c r="ND1" s="52">
        <f t="shared" si="5"/>
        <v>143000</v>
      </c>
      <c r="NE1" s="52">
        <f t="shared" si="5"/>
        <v>142000</v>
      </c>
      <c r="NF1" s="52">
        <f t="shared" si="5"/>
        <v>141000</v>
      </c>
      <c r="NG1" s="52">
        <f t="shared" si="5"/>
        <v>140000</v>
      </c>
      <c r="NH1" s="52">
        <f t="shared" si="5"/>
        <v>139000</v>
      </c>
      <c r="NI1" s="52">
        <f t="shared" si="5"/>
        <v>138000</v>
      </c>
      <c r="NJ1" s="52">
        <f t="shared" si="5"/>
        <v>137000</v>
      </c>
      <c r="NK1" s="52">
        <f t="shared" si="5"/>
        <v>136000</v>
      </c>
      <c r="NL1" s="52">
        <f t="shared" si="5"/>
        <v>135000</v>
      </c>
      <c r="NM1" s="52">
        <f t="shared" si="5"/>
        <v>134000</v>
      </c>
      <c r="NN1" s="52">
        <f t="shared" si="5"/>
        <v>133000</v>
      </c>
      <c r="NO1" s="52">
        <f t="shared" si="5"/>
        <v>132000</v>
      </c>
      <c r="NP1" s="52">
        <f t="shared" si="5"/>
        <v>131000</v>
      </c>
      <c r="NQ1" s="52">
        <f t="shared" si="5"/>
        <v>130000</v>
      </c>
      <c r="NR1" s="52">
        <f t="shared" si="5"/>
        <v>129000</v>
      </c>
      <c r="NS1" s="52">
        <f t="shared" si="5"/>
        <v>128000</v>
      </c>
      <c r="NT1" s="52">
        <f t="shared" si="5"/>
        <v>127000</v>
      </c>
      <c r="NU1" s="52">
        <f t="shared" si="5"/>
        <v>126000</v>
      </c>
      <c r="NV1" s="52">
        <f t="shared" si="5"/>
        <v>125000</v>
      </c>
      <c r="NW1" s="52">
        <f t="shared" ref="NW1:QH1" si="6">NV1-1000</f>
        <v>124000</v>
      </c>
      <c r="NX1" s="52">
        <f t="shared" si="6"/>
        <v>123000</v>
      </c>
      <c r="NY1" s="52">
        <f t="shared" si="6"/>
        <v>122000</v>
      </c>
      <c r="NZ1" s="52">
        <f t="shared" si="6"/>
        <v>121000</v>
      </c>
      <c r="OA1" s="52">
        <f t="shared" si="6"/>
        <v>120000</v>
      </c>
      <c r="OB1" s="52">
        <f t="shared" si="6"/>
        <v>119000</v>
      </c>
      <c r="OC1" s="52">
        <f t="shared" si="6"/>
        <v>118000</v>
      </c>
      <c r="OD1" s="52">
        <f t="shared" si="6"/>
        <v>117000</v>
      </c>
      <c r="OE1" s="52">
        <f t="shared" si="6"/>
        <v>116000</v>
      </c>
      <c r="OF1" s="52">
        <f t="shared" si="6"/>
        <v>115000</v>
      </c>
      <c r="OG1" s="52">
        <f t="shared" si="6"/>
        <v>114000</v>
      </c>
      <c r="OH1" s="52">
        <f t="shared" si="6"/>
        <v>113000</v>
      </c>
      <c r="OI1" s="52">
        <f t="shared" si="6"/>
        <v>112000</v>
      </c>
      <c r="OJ1" s="52">
        <f t="shared" si="6"/>
        <v>111000</v>
      </c>
      <c r="OK1" s="52">
        <f t="shared" si="6"/>
        <v>110000</v>
      </c>
      <c r="OL1" s="52">
        <f t="shared" si="6"/>
        <v>109000</v>
      </c>
      <c r="OM1" s="52">
        <f t="shared" si="6"/>
        <v>108000</v>
      </c>
      <c r="ON1" s="52">
        <f t="shared" si="6"/>
        <v>107000</v>
      </c>
      <c r="OO1" s="52">
        <f t="shared" si="6"/>
        <v>106000</v>
      </c>
      <c r="OP1" s="52">
        <f t="shared" si="6"/>
        <v>105000</v>
      </c>
      <c r="OQ1" s="52">
        <f t="shared" si="6"/>
        <v>104000</v>
      </c>
      <c r="OR1" s="52">
        <f t="shared" si="6"/>
        <v>103000</v>
      </c>
      <c r="OS1" s="52">
        <f t="shared" si="6"/>
        <v>102000</v>
      </c>
      <c r="OT1" s="52">
        <f t="shared" si="6"/>
        <v>101000</v>
      </c>
      <c r="OU1" s="52">
        <f t="shared" si="6"/>
        <v>100000</v>
      </c>
      <c r="OV1" s="52">
        <f t="shared" si="6"/>
        <v>99000</v>
      </c>
      <c r="OW1" s="52">
        <f t="shared" si="6"/>
        <v>98000</v>
      </c>
      <c r="OX1" s="52">
        <f t="shared" si="6"/>
        <v>97000</v>
      </c>
      <c r="OY1" s="52">
        <f t="shared" si="6"/>
        <v>96000</v>
      </c>
      <c r="OZ1" s="52">
        <f t="shared" si="6"/>
        <v>95000</v>
      </c>
      <c r="PA1" s="52">
        <f t="shared" si="6"/>
        <v>94000</v>
      </c>
      <c r="PB1" s="52">
        <f t="shared" si="6"/>
        <v>93000</v>
      </c>
      <c r="PC1" s="52">
        <f t="shared" si="6"/>
        <v>92000</v>
      </c>
      <c r="PD1" s="52">
        <f t="shared" si="6"/>
        <v>91000</v>
      </c>
      <c r="PE1" s="52">
        <f t="shared" si="6"/>
        <v>90000</v>
      </c>
      <c r="PF1" s="52">
        <f t="shared" si="6"/>
        <v>89000</v>
      </c>
      <c r="PG1" s="52">
        <f t="shared" si="6"/>
        <v>88000</v>
      </c>
      <c r="PH1" s="52">
        <f t="shared" si="6"/>
        <v>87000</v>
      </c>
      <c r="PI1" s="52">
        <f t="shared" si="6"/>
        <v>86000</v>
      </c>
      <c r="PJ1" s="52">
        <f t="shared" si="6"/>
        <v>85000</v>
      </c>
      <c r="PK1" s="52">
        <f t="shared" si="6"/>
        <v>84000</v>
      </c>
      <c r="PL1" s="52">
        <f t="shared" si="6"/>
        <v>83000</v>
      </c>
      <c r="PM1" s="52">
        <f t="shared" si="6"/>
        <v>82000</v>
      </c>
      <c r="PN1" s="52">
        <f t="shared" si="6"/>
        <v>81000</v>
      </c>
      <c r="PO1" s="52">
        <f t="shared" si="6"/>
        <v>80000</v>
      </c>
      <c r="PP1" s="52">
        <f t="shared" si="6"/>
        <v>79000</v>
      </c>
      <c r="PQ1" s="52">
        <f t="shared" si="6"/>
        <v>78000</v>
      </c>
      <c r="PR1" s="52">
        <f t="shared" si="6"/>
        <v>77000</v>
      </c>
      <c r="PS1" s="52">
        <f t="shared" si="6"/>
        <v>76000</v>
      </c>
      <c r="PT1" s="52">
        <f t="shared" si="6"/>
        <v>75000</v>
      </c>
      <c r="PU1" s="52">
        <f t="shared" si="6"/>
        <v>74000</v>
      </c>
      <c r="PV1" s="52">
        <f t="shared" si="6"/>
        <v>73000</v>
      </c>
      <c r="PW1" s="52">
        <f t="shared" si="6"/>
        <v>72000</v>
      </c>
      <c r="PX1" s="52">
        <f t="shared" si="6"/>
        <v>71000</v>
      </c>
      <c r="PY1" s="52">
        <f t="shared" si="6"/>
        <v>70000</v>
      </c>
      <c r="PZ1" s="52">
        <f t="shared" si="6"/>
        <v>69000</v>
      </c>
      <c r="QA1" s="52">
        <f t="shared" si="6"/>
        <v>68000</v>
      </c>
      <c r="QB1" s="52">
        <f t="shared" si="6"/>
        <v>67000</v>
      </c>
      <c r="QC1" s="52">
        <f t="shared" si="6"/>
        <v>66000</v>
      </c>
      <c r="QD1" s="52">
        <f t="shared" si="6"/>
        <v>65000</v>
      </c>
      <c r="QE1" s="52">
        <f t="shared" si="6"/>
        <v>64000</v>
      </c>
      <c r="QF1" s="52">
        <f t="shared" si="6"/>
        <v>63000</v>
      </c>
      <c r="QG1" s="52">
        <f t="shared" si="6"/>
        <v>62000</v>
      </c>
      <c r="QH1" s="52">
        <f t="shared" si="6"/>
        <v>61000</v>
      </c>
      <c r="QI1" s="52">
        <f t="shared" ref="QI1:SQ1" si="7">QH1-1000</f>
        <v>60000</v>
      </c>
      <c r="QJ1" s="52">
        <f t="shared" si="7"/>
        <v>59000</v>
      </c>
      <c r="QK1" s="52">
        <f t="shared" si="7"/>
        <v>58000</v>
      </c>
      <c r="QL1" s="52">
        <f t="shared" si="7"/>
        <v>57000</v>
      </c>
      <c r="QM1" s="52">
        <f t="shared" si="7"/>
        <v>56000</v>
      </c>
      <c r="QN1" s="52">
        <f t="shared" si="7"/>
        <v>55000</v>
      </c>
      <c r="QO1" s="52">
        <f t="shared" si="7"/>
        <v>54000</v>
      </c>
      <c r="QP1" s="52">
        <f t="shared" si="7"/>
        <v>53000</v>
      </c>
      <c r="QQ1" s="52">
        <f t="shared" si="7"/>
        <v>52000</v>
      </c>
      <c r="QR1" s="52">
        <f t="shared" si="7"/>
        <v>51000</v>
      </c>
      <c r="QS1" s="52">
        <f t="shared" si="7"/>
        <v>50000</v>
      </c>
      <c r="QT1" s="52">
        <f t="shared" si="7"/>
        <v>49000</v>
      </c>
      <c r="QU1" s="52">
        <f t="shared" si="7"/>
        <v>48000</v>
      </c>
      <c r="QV1" s="52">
        <f t="shared" si="7"/>
        <v>47000</v>
      </c>
      <c r="QW1" s="52">
        <f t="shared" si="7"/>
        <v>46000</v>
      </c>
      <c r="QX1" s="52">
        <f t="shared" si="7"/>
        <v>45000</v>
      </c>
      <c r="QY1" s="52">
        <f t="shared" si="7"/>
        <v>44000</v>
      </c>
      <c r="QZ1" s="52">
        <f t="shared" si="7"/>
        <v>43000</v>
      </c>
      <c r="RA1" s="52">
        <f t="shared" si="7"/>
        <v>42000</v>
      </c>
      <c r="RB1" s="52">
        <f t="shared" si="7"/>
        <v>41000</v>
      </c>
      <c r="RC1" s="52">
        <f t="shared" si="7"/>
        <v>40000</v>
      </c>
      <c r="RD1" s="52">
        <f t="shared" si="7"/>
        <v>39000</v>
      </c>
      <c r="RE1" s="52">
        <f t="shared" si="7"/>
        <v>38000</v>
      </c>
      <c r="RF1" s="52">
        <f t="shared" si="7"/>
        <v>37000</v>
      </c>
      <c r="RG1" s="52">
        <f t="shared" si="7"/>
        <v>36000</v>
      </c>
      <c r="RH1" s="52">
        <f t="shared" si="7"/>
        <v>35000</v>
      </c>
      <c r="RI1" s="52">
        <f t="shared" si="7"/>
        <v>34000</v>
      </c>
      <c r="RJ1" s="52">
        <f t="shared" si="7"/>
        <v>33000</v>
      </c>
      <c r="RK1" s="52">
        <f t="shared" si="7"/>
        <v>32000</v>
      </c>
      <c r="RL1" s="52">
        <f t="shared" si="7"/>
        <v>31000</v>
      </c>
      <c r="RM1" s="52">
        <f t="shared" si="7"/>
        <v>30000</v>
      </c>
      <c r="RN1" s="52">
        <f t="shared" si="7"/>
        <v>29000</v>
      </c>
      <c r="RO1" s="52">
        <f t="shared" si="7"/>
        <v>28000</v>
      </c>
      <c r="RP1" s="52">
        <f t="shared" si="7"/>
        <v>27000</v>
      </c>
      <c r="RQ1" s="52">
        <f t="shared" si="7"/>
        <v>26000</v>
      </c>
      <c r="RR1" s="52">
        <f t="shared" si="7"/>
        <v>25000</v>
      </c>
      <c r="RS1" s="52">
        <f t="shared" si="7"/>
        <v>24000</v>
      </c>
      <c r="RT1" s="52">
        <f t="shared" si="7"/>
        <v>23000</v>
      </c>
      <c r="RU1" s="52">
        <f t="shared" si="7"/>
        <v>22000</v>
      </c>
      <c r="RV1" s="52">
        <f t="shared" si="7"/>
        <v>21000</v>
      </c>
      <c r="RW1" s="52">
        <f t="shared" si="7"/>
        <v>20000</v>
      </c>
      <c r="RX1" s="52">
        <f t="shared" si="7"/>
        <v>19000</v>
      </c>
      <c r="RY1" s="52">
        <f t="shared" si="7"/>
        <v>18000</v>
      </c>
      <c r="RZ1" s="52">
        <f t="shared" si="7"/>
        <v>17000</v>
      </c>
      <c r="SA1" s="52">
        <f t="shared" si="7"/>
        <v>16000</v>
      </c>
      <c r="SB1" s="52">
        <f t="shared" si="7"/>
        <v>15000</v>
      </c>
      <c r="SC1" s="52">
        <f t="shared" si="7"/>
        <v>14000</v>
      </c>
      <c r="SD1" s="52">
        <f t="shared" si="7"/>
        <v>13000</v>
      </c>
      <c r="SE1" s="52">
        <f t="shared" si="7"/>
        <v>12000</v>
      </c>
      <c r="SF1" s="52">
        <f t="shared" si="7"/>
        <v>11000</v>
      </c>
      <c r="SG1" s="52">
        <f t="shared" si="7"/>
        <v>10000</v>
      </c>
      <c r="SH1" s="52">
        <f t="shared" si="7"/>
        <v>9000</v>
      </c>
      <c r="SI1" s="52">
        <f t="shared" si="7"/>
        <v>8000</v>
      </c>
      <c r="SJ1" s="52">
        <f t="shared" si="7"/>
        <v>7000</v>
      </c>
      <c r="SK1" s="52">
        <f t="shared" si="7"/>
        <v>6000</v>
      </c>
      <c r="SL1" s="52">
        <f t="shared" si="7"/>
        <v>5000</v>
      </c>
      <c r="SM1" s="52">
        <f t="shared" si="7"/>
        <v>4000</v>
      </c>
      <c r="SN1" s="52">
        <f t="shared" si="7"/>
        <v>3000</v>
      </c>
      <c r="SO1" s="52">
        <f t="shared" si="7"/>
        <v>2000</v>
      </c>
      <c r="SP1" s="52">
        <f t="shared" si="7"/>
        <v>1000</v>
      </c>
      <c r="SQ1" s="52">
        <f t="shared" si="7"/>
        <v>0</v>
      </c>
    </row>
    <row r="2" spans="1:511">
      <c r="A2">
        <v>1</v>
      </c>
      <c r="B2">
        <v>0.28033761139406499</v>
      </c>
      <c r="C2">
        <v>0.44535875822452697</v>
      </c>
      <c r="D2">
        <v>0.60707915525764999</v>
      </c>
      <c r="E2">
        <v>0.85408282737865104</v>
      </c>
      <c r="F2">
        <v>1.2288703660976401</v>
      </c>
      <c r="G2">
        <v>1.37347321998964</v>
      </c>
      <c r="H2">
        <v>1.53456106561354</v>
      </c>
      <c r="I2">
        <v>1.8475998101667099</v>
      </c>
      <c r="J2">
        <v>2.0699103299261798</v>
      </c>
      <c r="K2">
        <v>2.2189770430782798</v>
      </c>
      <c r="L2">
        <v>2.4015443938869798</v>
      </c>
      <c r="M2">
        <v>3.3049804935857798</v>
      </c>
      <c r="N2">
        <v>3.4932297790352198</v>
      </c>
      <c r="O2">
        <v>3.6682876315000299</v>
      </c>
      <c r="P2">
        <v>3.6742951681195701</v>
      </c>
      <c r="Q2">
        <v>3.7260925582009801</v>
      </c>
      <c r="R2">
        <v>3.88704314914045</v>
      </c>
      <c r="S2">
        <v>4.0004161266164999</v>
      </c>
      <c r="T2">
        <v>3.8925829077428702</v>
      </c>
      <c r="U2">
        <v>4.3942002344987801</v>
      </c>
      <c r="V2">
        <v>4.8650720047963203</v>
      </c>
      <c r="W2">
        <v>4.9538526219578802</v>
      </c>
      <c r="X2">
        <v>4.9982500149811999</v>
      </c>
      <c r="Y2">
        <v>5.0892423979023604</v>
      </c>
      <c r="Z2">
        <v>5.1429734348782201</v>
      </c>
      <c r="AA2">
        <v>5.1774637029160102</v>
      </c>
      <c r="AB2">
        <v>5.6512699494534298</v>
      </c>
      <c r="AC2">
        <v>5.6754587693060303</v>
      </c>
      <c r="AD2">
        <v>5.6550388372619</v>
      </c>
      <c r="AE2">
        <v>5.6498768966201798</v>
      </c>
      <c r="AF2">
        <v>5.5720434572522803</v>
      </c>
      <c r="AG2">
        <v>5.5698272457728502</v>
      </c>
      <c r="AH2">
        <v>5.3644580226479199</v>
      </c>
      <c r="AI2">
        <v>5.2320610879444498</v>
      </c>
      <c r="AJ2">
        <v>4.9364886023606198</v>
      </c>
      <c r="AK2">
        <v>4.73544660232825</v>
      </c>
      <c r="AL2">
        <v>4.6644711288288603</v>
      </c>
      <c r="AM2">
        <v>4.59950282693526</v>
      </c>
      <c r="AN2">
        <v>4.4831443246343499</v>
      </c>
      <c r="AO2">
        <v>3.52612653858034</v>
      </c>
      <c r="AP2">
        <v>3.3407382711508302</v>
      </c>
      <c r="AQ2">
        <v>3.1937495562085001</v>
      </c>
      <c r="AR2">
        <v>3.0332555665576302</v>
      </c>
      <c r="AS2">
        <v>2.8600584139727201</v>
      </c>
      <c r="AT2">
        <v>2.8198033882295399</v>
      </c>
      <c r="AU2">
        <v>2.58607795110925</v>
      </c>
      <c r="AV2">
        <v>2.3287287182219099</v>
      </c>
      <c r="AW2">
        <v>2.0743791011527799</v>
      </c>
      <c r="AX2">
        <v>1.77015575311398</v>
      </c>
      <c r="AY2">
        <v>1.3072810298267199</v>
      </c>
      <c r="AZ2">
        <v>1.08628207420678</v>
      </c>
      <c r="BA2">
        <v>0.88846824317236095</v>
      </c>
      <c r="BB2">
        <v>0.683978725298657</v>
      </c>
      <c r="BC2">
        <v>0.49048232595326502</v>
      </c>
      <c r="BD2">
        <v>0.42125985074155198</v>
      </c>
      <c r="BE2">
        <v>0.25482406807706198</v>
      </c>
      <c r="BF2">
        <v>9.0274053159259598E-2</v>
      </c>
      <c r="BG2">
        <v>-7.9196457748430399E-2</v>
      </c>
      <c r="BH2">
        <v>-0.20796944549451599</v>
      </c>
      <c r="BI2">
        <v>-0.33014555160791398</v>
      </c>
      <c r="BJ2">
        <v>-0.45401753269137501</v>
      </c>
      <c r="BK2">
        <v>-0.56301168428251303</v>
      </c>
      <c r="BL2">
        <v>-0.69209294198323501</v>
      </c>
      <c r="BM2">
        <v>-0.79572813890254501</v>
      </c>
      <c r="BN2">
        <v>-1.2625147696380601</v>
      </c>
      <c r="BO2">
        <v>-1.5157884330840901</v>
      </c>
      <c r="BP2">
        <v>-1.63854990056991</v>
      </c>
      <c r="BQ2">
        <v>-1.7542805615266399</v>
      </c>
      <c r="BR2">
        <v>-1.8584934991120301</v>
      </c>
      <c r="BS2">
        <v>-2.19407867590387</v>
      </c>
      <c r="BT2">
        <v>-2.31415477547145</v>
      </c>
      <c r="BU2">
        <v>-2.4039438107678701</v>
      </c>
      <c r="BV2">
        <v>-2.46747522846653</v>
      </c>
      <c r="BW2">
        <v>-2.5672664725029501</v>
      </c>
      <c r="BX2">
        <v>-2.7126367930301898</v>
      </c>
      <c r="BY2">
        <v>-2.7397214902084199</v>
      </c>
      <c r="BZ2">
        <v>-2.7733956726393001</v>
      </c>
      <c r="CA2">
        <v>-3.07830052722186</v>
      </c>
      <c r="CB2">
        <v>-3.1777138197532802</v>
      </c>
      <c r="CC2">
        <v>-3.1525704760078899</v>
      </c>
      <c r="CD2">
        <v>-3.15193953497515</v>
      </c>
      <c r="CE2">
        <v>-3.1564273734748798</v>
      </c>
      <c r="CF2">
        <v>-3.0261107788646</v>
      </c>
      <c r="CG2">
        <v>-2.9347386801467801</v>
      </c>
      <c r="CH2">
        <v>-2.9268268315814998</v>
      </c>
      <c r="CI2">
        <v>-2.9215060774225701</v>
      </c>
      <c r="CJ2">
        <v>-2.92302645017761</v>
      </c>
      <c r="CK2">
        <v>-2.9476846472345501</v>
      </c>
      <c r="CL2">
        <v>-3.1108478967470701</v>
      </c>
      <c r="CM2">
        <v>-3.1548417255452201</v>
      </c>
      <c r="CN2">
        <v>-3.4695892183475299</v>
      </c>
      <c r="CO2">
        <v>-3.69188407074803</v>
      </c>
      <c r="CP2">
        <v>-3.7111553309421801</v>
      </c>
      <c r="CQ2">
        <v>-3.69502986010865</v>
      </c>
      <c r="CR2">
        <v>-3.8599644811590399</v>
      </c>
      <c r="CS2">
        <v>-3.88250796853209</v>
      </c>
      <c r="CT2">
        <v>-3.86158993976133</v>
      </c>
      <c r="CU2">
        <v>-3.7982733638905799</v>
      </c>
      <c r="CV2">
        <v>-3.4452956144737601</v>
      </c>
      <c r="CW2">
        <v>-3.2708669351235402</v>
      </c>
      <c r="CX2">
        <v>-3.1469643988306202</v>
      </c>
      <c r="CY2">
        <v>-2.9005625564441999</v>
      </c>
      <c r="CZ2">
        <v>-2.6533759303876798</v>
      </c>
      <c r="DA2">
        <v>-2.5445836164495401</v>
      </c>
      <c r="DB2">
        <v>-2.49082673446188</v>
      </c>
      <c r="DC2">
        <v>-2.1391068930318</v>
      </c>
      <c r="DD2">
        <v>-2.0098537076152398</v>
      </c>
      <c r="DE2">
        <v>-1.93845695491544</v>
      </c>
      <c r="DF2">
        <v>-1.7871456331739</v>
      </c>
      <c r="DG2">
        <v>-1.52136279145432</v>
      </c>
      <c r="DH2">
        <v>-1.42393543887506</v>
      </c>
      <c r="DI2">
        <v>-1.31563755166064</v>
      </c>
      <c r="DJ2">
        <v>-1.2005732571396199</v>
      </c>
      <c r="DK2">
        <v>-1.0451496689773301</v>
      </c>
      <c r="DL2">
        <v>-0.769270167120368</v>
      </c>
      <c r="DM2">
        <v>-0.55231266707472604</v>
      </c>
      <c r="DN2">
        <v>-0.67346471291111498</v>
      </c>
      <c r="DO2">
        <v>-0.63635200429060301</v>
      </c>
      <c r="DP2">
        <v>-0.52260792492610997</v>
      </c>
      <c r="DQ2">
        <v>-0.39542999823830099</v>
      </c>
      <c r="DR2">
        <v>-0.50434916758727899</v>
      </c>
      <c r="DS2">
        <v>-0.47883514924091602</v>
      </c>
      <c r="DT2">
        <v>-0.33957477430769201</v>
      </c>
      <c r="DU2">
        <v>-0.214936489447451</v>
      </c>
      <c r="DV2">
        <v>-5.16615202922798E-2</v>
      </c>
      <c r="DW2">
        <v>9.3574560042052599E-2</v>
      </c>
      <c r="DX2">
        <v>0.23755939175674701</v>
      </c>
      <c r="DY2">
        <v>0.39932624824108998</v>
      </c>
      <c r="DZ2">
        <v>0.61821177334127098</v>
      </c>
      <c r="EA2">
        <v>0.88419046731842899</v>
      </c>
      <c r="EB2">
        <v>1.0543923015168</v>
      </c>
      <c r="EC2">
        <v>1.2151563520739601</v>
      </c>
      <c r="ED2">
        <v>1.38708399668993</v>
      </c>
      <c r="EE2">
        <v>1.7022566371158401</v>
      </c>
      <c r="EF2">
        <v>1.9054609565537699</v>
      </c>
      <c r="EG2">
        <v>2.1007723232304798</v>
      </c>
      <c r="EH2">
        <v>2.29041636419523</v>
      </c>
      <c r="EI2">
        <v>2.1097141310201901</v>
      </c>
      <c r="EJ2">
        <v>1.9306713075245101</v>
      </c>
      <c r="EK2">
        <v>2.1157273940741002</v>
      </c>
      <c r="EL2">
        <v>2.3018430533888301</v>
      </c>
      <c r="EM2">
        <v>2.5224991426287402</v>
      </c>
      <c r="EN2">
        <v>2.4609518732547202</v>
      </c>
      <c r="EO2">
        <v>2.63736849019255</v>
      </c>
      <c r="EP2">
        <v>2.80441598450872</v>
      </c>
      <c r="EQ2">
        <v>3.1223243013677702</v>
      </c>
      <c r="ER2">
        <v>3.55432537867327</v>
      </c>
      <c r="ES2">
        <v>3.9707871287437602</v>
      </c>
      <c r="ET2">
        <v>4.1162960303693197</v>
      </c>
      <c r="EU2">
        <v>4.2147445722616803</v>
      </c>
      <c r="EV2">
        <v>4.2838835028152404</v>
      </c>
      <c r="EW2">
        <v>4.6043339089746</v>
      </c>
      <c r="EX2">
        <v>4.7610692888147197</v>
      </c>
      <c r="EY2">
        <v>4.6986588101587996</v>
      </c>
      <c r="EZ2">
        <v>4.5582557521372804</v>
      </c>
      <c r="FA2">
        <v>4.5373433327353201</v>
      </c>
      <c r="FB2">
        <v>4.6814319209680697</v>
      </c>
      <c r="FC2">
        <v>4.6408806925338197</v>
      </c>
      <c r="FD2">
        <v>4.5494705146002001</v>
      </c>
      <c r="FE2">
        <v>4.4475321353120298</v>
      </c>
      <c r="FF2">
        <v>4.3449240845423596</v>
      </c>
      <c r="FG2">
        <v>4.2920149410840898</v>
      </c>
      <c r="FH2">
        <v>3.68104135035483</v>
      </c>
      <c r="FI2">
        <v>3.4365939963946999</v>
      </c>
      <c r="FJ2">
        <v>3.2728108639289202</v>
      </c>
      <c r="FK2">
        <v>3.0995296832932899</v>
      </c>
      <c r="FL2">
        <v>2.8441849137716799</v>
      </c>
      <c r="FM2">
        <v>2.64655437908067</v>
      </c>
      <c r="FN2">
        <v>2.4505092974654099</v>
      </c>
      <c r="FO2">
        <v>2.2119474783927502</v>
      </c>
      <c r="FP2">
        <v>1.8800673233027001</v>
      </c>
      <c r="FQ2">
        <v>1.5377577778306899</v>
      </c>
      <c r="FR2">
        <v>1.29373753385937</v>
      </c>
      <c r="FS2">
        <v>1.04581608358539</v>
      </c>
      <c r="FT2">
        <v>0.79064773326385895</v>
      </c>
      <c r="FU2">
        <v>0.47460587602406901</v>
      </c>
      <c r="FV2">
        <v>0.212787426457694</v>
      </c>
      <c r="FW2">
        <v>-3.3126361205732598E-2</v>
      </c>
      <c r="FX2">
        <v>-0.275107591830061</v>
      </c>
      <c r="FY2">
        <v>-0.477340508050561</v>
      </c>
      <c r="FZ2">
        <v>-0.66122921314911198</v>
      </c>
      <c r="GA2">
        <v>-0.86387601632550104</v>
      </c>
      <c r="GB2">
        <v>-1.05620028014853</v>
      </c>
      <c r="GC2">
        <v>-1.23007951681286</v>
      </c>
      <c r="GD2">
        <v>-1.28323237505682</v>
      </c>
      <c r="GE2">
        <v>-1.43380085996585</v>
      </c>
      <c r="GF2">
        <v>-1.55866865251103</v>
      </c>
      <c r="GG2">
        <v>-1.69081520165524</v>
      </c>
      <c r="GH2">
        <v>-1.78917417457818</v>
      </c>
      <c r="GI2">
        <v>-1.8882581574953801</v>
      </c>
      <c r="GJ2">
        <v>-1.99754403929955</v>
      </c>
      <c r="GK2">
        <v>-2.1574929667459801</v>
      </c>
      <c r="GL2">
        <v>-2.4611384785213599</v>
      </c>
      <c r="GM2">
        <v>-2.5532624281316201</v>
      </c>
      <c r="GN2">
        <v>-2.62157199845677</v>
      </c>
      <c r="GO2">
        <v>-2.9576285665539701</v>
      </c>
      <c r="GP2">
        <v>-3.3933870454943502</v>
      </c>
      <c r="GQ2">
        <v>-3.4272550282929402</v>
      </c>
      <c r="GR2">
        <v>-3.46902783442642</v>
      </c>
      <c r="GS2">
        <v>-3.2684284462244899</v>
      </c>
      <c r="GT2">
        <v>-3.2235739318924099</v>
      </c>
      <c r="GU2">
        <v>-3.2014620411652301</v>
      </c>
      <c r="GV2">
        <v>-3.0130913770963801</v>
      </c>
      <c r="GW2">
        <v>-2.73434902192577</v>
      </c>
      <c r="GX2">
        <v>-2.6604249559231801</v>
      </c>
      <c r="GY2">
        <v>-2.5461371296294999</v>
      </c>
      <c r="GZ2">
        <v>-2.23937674044197</v>
      </c>
      <c r="HA2">
        <v>-2.0619249304305201</v>
      </c>
      <c r="HB2">
        <v>-1.97936886964312</v>
      </c>
      <c r="HC2">
        <v>-1.9323780357810201</v>
      </c>
      <c r="HD2">
        <v>-1.6234231609654799</v>
      </c>
      <c r="HE2">
        <v>-1.5049136708089601</v>
      </c>
      <c r="HF2">
        <v>-1.38046329055338</v>
      </c>
      <c r="HG2">
        <v>-1.25972952033785</v>
      </c>
      <c r="HH2">
        <v>-1.1630310753866899</v>
      </c>
      <c r="HI2">
        <v>-1.0467612356465399</v>
      </c>
      <c r="HJ2">
        <v>-0.91575401468266404</v>
      </c>
      <c r="HK2">
        <v>-0.88883681093015099</v>
      </c>
      <c r="HL2">
        <v>-1.13027198580649</v>
      </c>
      <c r="HM2">
        <v>-1.0178687457873401</v>
      </c>
      <c r="HN2">
        <v>-0.91522992227508804</v>
      </c>
      <c r="HO2">
        <v>-0.83556067023788005</v>
      </c>
      <c r="HP2">
        <v>-1.0107360234999301</v>
      </c>
      <c r="HQ2">
        <v>-0.93050695458000698</v>
      </c>
      <c r="HR2">
        <v>-0.81970249586644495</v>
      </c>
      <c r="HS2">
        <v>-0.73554069911424802</v>
      </c>
      <c r="HT2">
        <v>-0.54593008957017497</v>
      </c>
      <c r="HU2">
        <v>-0.43739096884571799</v>
      </c>
      <c r="HV2">
        <v>-0.361533814684531</v>
      </c>
      <c r="HW2">
        <v>-0.30277116915393298</v>
      </c>
      <c r="HX2">
        <v>-0.15930435863090101</v>
      </c>
      <c r="HY2">
        <v>6.9165269600634294E-2</v>
      </c>
      <c r="HZ2">
        <v>0.103881512339423</v>
      </c>
      <c r="IA2">
        <v>0.13216932950423699</v>
      </c>
      <c r="IB2">
        <v>0.187076986557901</v>
      </c>
      <c r="IC2">
        <v>0.30731315931098702</v>
      </c>
      <c r="ID2">
        <v>0.36451408976058303</v>
      </c>
      <c r="IE2">
        <v>0.37579226282490003</v>
      </c>
      <c r="IF2">
        <v>0.41166619708539598</v>
      </c>
      <c r="IG2">
        <v>0.26118020824916299</v>
      </c>
      <c r="IH2">
        <v>-0.36332730428898402</v>
      </c>
      <c r="II2">
        <v>-0.34929874749391499</v>
      </c>
      <c r="IJ2">
        <v>-0.32205309711426899</v>
      </c>
      <c r="IK2">
        <v>-0.30960489156084697</v>
      </c>
      <c r="IL2">
        <v>-0.464225067140212</v>
      </c>
      <c r="IM2">
        <v>-0.56397584947984103</v>
      </c>
      <c r="IN2">
        <v>-0.55444182665140496</v>
      </c>
      <c r="IO2">
        <v>-0.53891698117954501</v>
      </c>
      <c r="IP2">
        <v>-0.502934954254602</v>
      </c>
      <c r="IQ2">
        <v>-0.135544243170932</v>
      </c>
      <c r="IR2">
        <v>1.1328907798852801E-2</v>
      </c>
      <c r="IS2">
        <v>3.3223135395564499E-2</v>
      </c>
      <c r="IT2">
        <v>5.4996427547946203E-2</v>
      </c>
      <c r="IU2">
        <v>8.5997955313689894E-2</v>
      </c>
      <c r="IV2">
        <v>0.45360352480715099</v>
      </c>
      <c r="IW2">
        <v>0.51479911343195095</v>
      </c>
      <c r="IX2">
        <v>0.53363492382756805</v>
      </c>
      <c r="IY2">
        <v>0.54202917602271705</v>
      </c>
      <c r="IZ2">
        <v>0.67106444209406002</v>
      </c>
      <c r="JA2">
        <v>0.90396830753985602</v>
      </c>
      <c r="JB2">
        <v>0.92575866783323202</v>
      </c>
      <c r="JC2">
        <v>0.96967890391024203</v>
      </c>
      <c r="JD2">
        <v>1.0172521556215399</v>
      </c>
      <c r="JE2">
        <v>1.16621404082594</v>
      </c>
      <c r="JF2">
        <v>1.26941834132889</v>
      </c>
      <c r="JG2">
        <v>1.3336950446012199</v>
      </c>
      <c r="JH2">
        <v>1.35659718773066</v>
      </c>
      <c r="JI2">
        <v>1.41108356101175</v>
      </c>
      <c r="JJ2">
        <v>1.4170140010841401</v>
      </c>
      <c r="JK2">
        <v>1.4737590114992001</v>
      </c>
      <c r="JL2">
        <v>1.5165937829291101</v>
      </c>
      <c r="JM2">
        <v>1.56304439258661</v>
      </c>
      <c r="JN2">
        <v>1.381951462448</v>
      </c>
      <c r="JO2">
        <v>1.3873614862072801</v>
      </c>
      <c r="JP2">
        <v>1.4502839793177</v>
      </c>
      <c r="JQ2">
        <v>1.51296070471783</v>
      </c>
      <c r="JR2">
        <v>1.45206816033393</v>
      </c>
      <c r="JS2">
        <v>1.43873633517077</v>
      </c>
      <c r="JT2">
        <v>1.4229468264145799</v>
      </c>
      <c r="JU2">
        <v>1.4690546784413101</v>
      </c>
      <c r="JV2">
        <v>1.53844555926909</v>
      </c>
      <c r="JW2">
        <v>1.5824305515838399</v>
      </c>
      <c r="JX2">
        <v>1.6200275536550099</v>
      </c>
      <c r="JY2">
        <v>1.6448265947477001</v>
      </c>
      <c r="JZ2">
        <v>1.76742453320034</v>
      </c>
      <c r="KA2">
        <v>1.78252356689492</v>
      </c>
      <c r="KB2">
        <v>1.78978130576227</v>
      </c>
      <c r="KC2">
        <v>1.7774908990679701</v>
      </c>
      <c r="KD2">
        <v>1.7327030315206799</v>
      </c>
      <c r="KE2">
        <v>1.7226601180529</v>
      </c>
      <c r="KF2">
        <v>1.7142671030654499</v>
      </c>
      <c r="KG2">
        <v>1.49731486658063</v>
      </c>
      <c r="KH2">
        <v>1.3799479367176199</v>
      </c>
      <c r="KI2">
        <v>1.3669629999767601</v>
      </c>
      <c r="KJ2">
        <v>1.2933622499397599</v>
      </c>
      <c r="KK2">
        <v>1.0980406600055601</v>
      </c>
      <c r="KL2">
        <v>1.02579118784518</v>
      </c>
      <c r="KM2">
        <v>0.947205003997729</v>
      </c>
      <c r="KN2">
        <v>0.93325305511644596</v>
      </c>
      <c r="KO2">
        <v>0.84059337008801205</v>
      </c>
      <c r="KP2">
        <v>0.62581604238984001</v>
      </c>
      <c r="KQ2">
        <v>0.50774652753377103</v>
      </c>
      <c r="KR2">
        <v>0.58810087294322899</v>
      </c>
      <c r="KS2">
        <v>0.52788384392570098</v>
      </c>
      <c r="KT2">
        <v>0.41923719594040698</v>
      </c>
      <c r="KU2">
        <v>0.29406057004381397</v>
      </c>
      <c r="KV2">
        <v>0.33907441463330801</v>
      </c>
      <c r="KW2">
        <v>0.27273608523436099</v>
      </c>
      <c r="KX2">
        <v>0.15330756288422301</v>
      </c>
      <c r="KY2">
        <v>4.7481457054179103E-2</v>
      </c>
      <c r="KZ2">
        <v>2.5845012581944299E-2</v>
      </c>
      <c r="LA2">
        <v>-4.3027287212445101E-2</v>
      </c>
      <c r="LB2">
        <v>-0.13562086827133199</v>
      </c>
      <c r="LC2">
        <v>-0.23341083558114201</v>
      </c>
      <c r="LD2">
        <v>-0.357589689417881</v>
      </c>
      <c r="LE2">
        <v>-0.49024683236160999</v>
      </c>
      <c r="LF2">
        <v>-0.57959149798297205</v>
      </c>
      <c r="LG2">
        <v>-0.64672534439148099</v>
      </c>
      <c r="LH2">
        <v>-0.88483236064795001</v>
      </c>
      <c r="LI2">
        <v>-1.3440897353996599</v>
      </c>
      <c r="LJ2">
        <v>-1.4397420218844399</v>
      </c>
      <c r="LK2">
        <v>-1.50962884458404</v>
      </c>
      <c r="LL2">
        <v>-1.5819196731715599</v>
      </c>
      <c r="LM2">
        <v>-1.7611447508586899</v>
      </c>
      <c r="LN2">
        <v>-1.8566953869534999</v>
      </c>
      <c r="LO2">
        <v>-1.8957412905569799</v>
      </c>
      <c r="LP2">
        <v>-1.9124668552850801</v>
      </c>
      <c r="LQ2">
        <v>-1.9041588653377499</v>
      </c>
      <c r="LR2">
        <v>-1.7469263454691599</v>
      </c>
      <c r="LS2">
        <v>-1.7347625980188599</v>
      </c>
      <c r="LT2">
        <v>-1.69639574894321</v>
      </c>
      <c r="LU2">
        <v>-1.6332834138685699</v>
      </c>
      <c r="LV2">
        <v>-1.40703801772904</v>
      </c>
      <c r="LW2">
        <v>-1.27649859466754</v>
      </c>
      <c r="LX2">
        <v>-1.2149025018887001</v>
      </c>
      <c r="LY2">
        <v>-1.1116099677522999</v>
      </c>
      <c r="LZ2">
        <v>-0.98910927358454004</v>
      </c>
      <c r="MA2">
        <v>-0.74004721196272005</v>
      </c>
      <c r="MB2">
        <v>-0.63145247211628697</v>
      </c>
      <c r="MC2">
        <v>-0.56406388688942299</v>
      </c>
      <c r="MD2">
        <v>-0.47730531255924402</v>
      </c>
      <c r="ME2">
        <v>-1.0191059413497201</v>
      </c>
      <c r="MF2">
        <v>-1.0977408182759201</v>
      </c>
      <c r="MG2">
        <v>-1.0057759278124301</v>
      </c>
      <c r="MH2">
        <v>-0.90979886519029796</v>
      </c>
      <c r="MI2">
        <v>-0.90251124723451304</v>
      </c>
      <c r="MJ2">
        <v>-1.08380198544086</v>
      </c>
      <c r="MK2">
        <v>-0.94894629485047499</v>
      </c>
      <c r="ML2">
        <v>-0.82435681078212997</v>
      </c>
      <c r="MM2">
        <v>-0.68133696190124304</v>
      </c>
      <c r="MN2">
        <v>-0.15837662313916601</v>
      </c>
      <c r="MO2">
        <v>2.5385754310638799E-2</v>
      </c>
      <c r="MP2">
        <v>0.16939685043050401</v>
      </c>
      <c r="MQ2">
        <v>0.245830119483367</v>
      </c>
      <c r="MR2">
        <v>0.43577385273994002</v>
      </c>
      <c r="MS2">
        <v>0.813213017898197</v>
      </c>
      <c r="MT2">
        <v>0.85135177018925201</v>
      </c>
      <c r="MU2">
        <v>0.90103921071742799</v>
      </c>
      <c r="MV2">
        <v>0.92383214081204501</v>
      </c>
      <c r="MW2">
        <v>1.2022006341060001</v>
      </c>
      <c r="MX2">
        <v>1.2401217212209501</v>
      </c>
      <c r="MY2">
        <v>1.2352773892679501</v>
      </c>
      <c r="MZ2">
        <v>1.2444367466169499</v>
      </c>
      <c r="NA2">
        <v>1.27695028322458</v>
      </c>
      <c r="NB2">
        <v>1.32213692251129</v>
      </c>
      <c r="NC2">
        <v>1.28603322720346</v>
      </c>
      <c r="ND2">
        <v>1.2536796546037701</v>
      </c>
      <c r="NE2">
        <v>1.17835520167098</v>
      </c>
      <c r="NF2">
        <v>1.0524961971857001</v>
      </c>
      <c r="NG2">
        <v>0.99765138580324397</v>
      </c>
      <c r="NH2">
        <v>0.90581606693365502</v>
      </c>
      <c r="NI2">
        <v>0.81933786738668501</v>
      </c>
      <c r="NJ2">
        <v>0.51077757275423696</v>
      </c>
      <c r="NK2">
        <v>0.38532832475156897</v>
      </c>
      <c r="NL2">
        <v>0.29650634102175899</v>
      </c>
      <c r="NM2">
        <v>0.19570954245036201</v>
      </c>
      <c r="NN2">
        <v>-2.60130797490759E-2</v>
      </c>
      <c r="NO2">
        <v>-0.16028043550228399</v>
      </c>
      <c r="NP2">
        <v>-0.26019585774797699</v>
      </c>
      <c r="NQ2">
        <v>-0.35782974112420701</v>
      </c>
      <c r="NR2">
        <v>-0.41876001941692198</v>
      </c>
      <c r="NS2">
        <v>-0.51818836376257005</v>
      </c>
      <c r="NT2">
        <v>-0.62439649222960003</v>
      </c>
      <c r="NU2">
        <v>-0.70543291008790598</v>
      </c>
      <c r="NV2">
        <v>-0.71643828577130297</v>
      </c>
      <c r="NW2">
        <v>-0.81266785117263995</v>
      </c>
      <c r="NX2">
        <v>-0.89388013482655704</v>
      </c>
      <c r="NY2">
        <v>-0.99799569597604298</v>
      </c>
      <c r="NZ2">
        <v>-1.12780703908735</v>
      </c>
      <c r="OA2">
        <v>-1.20683309487515</v>
      </c>
      <c r="OB2">
        <v>-1.2640080575622901</v>
      </c>
      <c r="OC2">
        <v>-1.4791977756108701</v>
      </c>
      <c r="OD2">
        <v>-1.69721255258935</v>
      </c>
      <c r="OE2">
        <v>-1.79730912381097</v>
      </c>
      <c r="OF2">
        <v>-1.8838524258198099</v>
      </c>
      <c r="OG2">
        <v>-2.0577726026572201</v>
      </c>
      <c r="OH2">
        <v>-2.1660800170720198</v>
      </c>
      <c r="OI2">
        <v>-2.2019723385508199</v>
      </c>
      <c r="OJ2">
        <v>-2.2367803575679401</v>
      </c>
      <c r="OK2">
        <v>-2.0157019859171998</v>
      </c>
      <c r="OL2">
        <v>-1.98854456261779</v>
      </c>
      <c r="OM2">
        <v>-1.96350428285136</v>
      </c>
      <c r="ON2">
        <v>-1.9377383954710901</v>
      </c>
      <c r="OO2">
        <v>-1.5364558884923201</v>
      </c>
      <c r="OP2">
        <v>-1.43080946895129</v>
      </c>
      <c r="OQ2">
        <v>-1.3604277213984399</v>
      </c>
      <c r="OR2">
        <v>-1.2712419278607601</v>
      </c>
      <c r="OS2">
        <v>-0.89146451600787802</v>
      </c>
      <c r="OT2">
        <v>-0.75881360661822395</v>
      </c>
      <c r="OU2">
        <v>-0.63866801153833896</v>
      </c>
      <c r="OV2">
        <v>-0.52311850001448801</v>
      </c>
      <c r="OW2">
        <v>-0.23519121993435699</v>
      </c>
      <c r="OX2">
        <v>-4.62096471603319E-2</v>
      </c>
      <c r="OY2">
        <v>6.1568102967151997E-2</v>
      </c>
      <c r="OZ2">
        <v>0.22389480122470101</v>
      </c>
      <c r="PA2">
        <v>0.33676994258412302</v>
      </c>
      <c r="PB2">
        <v>0.45570394405169501</v>
      </c>
      <c r="PC2">
        <v>0.614536664049951</v>
      </c>
      <c r="PD2">
        <v>0.76346534234036401</v>
      </c>
      <c r="PE2">
        <v>0.81401374448863095</v>
      </c>
      <c r="PF2">
        <v>0.49214369089118798</v>
      </c>
      <c r="PG2" s="55">
        <v>0.63793871446416595</v>
      </c>
      <c r="PH2" s="55">
        <v>0.74344276372785301</v>
      </c>
      <c r="PI2" s="55">
        <v>0.88226600985380299</v>
      </c>
      <c r="PJ2" s="55">
        <v>0.74695943055451597</v>
      </c>
      <c r="PK2" s="55">
        <v>0.80705083321640303</v>
      </c>
      <c r="PL2" s="55">
        <v>0.92835299899043999</v>
      </c>
      <c r="PM2" s="55">
        <v>1.0213941243472799</v>
      </c>
      <c r="PN2" s="55">
        <v>1.2131165773352699</v>
      </c>
      <c r="PO2" s="55">
        <v>1.4202306072922199</v>
      </c>
      <c r="PP2" s="55">
        <v>1.49857799580842</v>
      </c>
      <c r="PQ2" s="55">
        <v>1.58314879982079</v>
      </c>
      <c r="PR2" s="55">
        <v>1.6555801649191699</v>
      </c>
      <c r="PS2" s="55">
        <v>1.91930136551213</v>
      </c>
      <c r="PT2" s="55">
        <v>1.9984976592075601</v>
      </c>
      <c r="PU2" s="55">
        <v>2.0355962765065501</v>
      </c>
      <c r="PV2" s="55">
        <v>2.0130410363558999</v>
      </c>
      <c r="PW2" s="55">
        <v>2.0725416066612499</v>
      </c>
      <c r="PX2" s="55">
        <v>2.24440873309584</v>
      </c>
      <c r="PY2" s="55">
        <v>2.2439827986201801</v>
      </c>
      <c r="PZ2" s="55">
        <v>2.2472111629128602</v>
      </c>
      <c r="QA2" s="55">
        <v>2.23120082899149</v>
      </c>
      <c r="QB2" s="55">
        <v>1.5801877159484301</v>
      </c>
      <c r="QC2" s="55">
        <v>1.4860952495556501</v>
      </c>
      <c r="QD2" s="55">
        <v>1.4791074311649</v>
      </c>
      <c r="QE2" s="55">
        <v>1.47841334105441</v>
      </c>
      <c r="QF2" s="55">
        <v>1.2951827457362799</v>
      </c>
      <c r="QG2" s="55">
        <v>1.00748865667093</v>
      </c>
      <c r="QH2" s="55">
        <v>0.95320476193191195</v>
      </c>
      <c r="QI2" s="55">
        <v>0.92983950039338303</v>
      </c>
      <c r="QJ2" s="55">
        <v>0.84985578393536498</v>
      </c>
      <c r="QK2" s="55">
        <v>1.1365285080265299</v>
      </c>
      <c r="QL2" s="55">
        <v>1.1000131743525501</v>
      </c>
      <c r="QM2" s="55">
        <v>0.98812856162713203</v>
      </c>
      <c r="QN2" s="55">
        <v>0.88575516033811597</v>
      </c>
      <c r="QO2" s="55">
        <v>0.91338777075826205</v>
      </c>
      <c r="QP2" s="55">
        <v>1.0226494355004001</v>
      </c>
      <c r="QQ2" s="55">
        <v>0.89767076123735801</v>
      </c>
      <c r="QR2" s="55">
        <v>0.781012406154315</v>
      </c>
      <c r="QS2" s="55">
        <v>0.709179768783753</v>
      </c>
      <c r="QT2" s="55">
        <v>0.80057214174771496</v>
      </c>
      <c r="QU2" s="55">
        <v>0.70003199550589001</v>
      </c>
      <c r="QV2" s="55">
        <v>0.61271862622143802</v>
      </c>
      <c r="QW2" s="55">
        <v>0.52227393079156503</v>
      </c>
      <c r="QX2" s="55">
        <v>0.51319474824105604</v>
      </c>
      <c r="QY2" s="55">
        <v>0.447279227102308</v>
      </c>
      <c r="QZ2" s="55">
        <v>0.37642055346115499</v>
      </c>
      <c r="RA2" s="55">
        <v>0.28117375825742702</v>
      </c>
      <c r="RB2" s="55">
        <v>0.13632362636540199</v>
      </c>
      <c r="RC2" s="55">
        <v>4.5424995682910203E-2</v>
      </c>
      <c r="RD2" s="55">
        <v>-2.4454668572023799E-2</v>
      </c>
      <c r="RE2" s="55">
        <v>-8.0474122744960699E-2</v>
      </c>
      <c r="RF2" s="55">
        <v>-0.37648462735875898</v>
      </c>
      <c r="RG2" s="55">
        <v>-0.47112474092267598</v>
      </c>
      <c r="RH2" s="55">
        <v>-0.50958277478166203</v>
      </c>
      <c r="RI2" s="55">
        <v>-0.55188220943991895</v>
      </c>
      <c r="RJ2" s="55">
        <v>-0.73129319296322504</v>
      </c>
      <c r="RK2" s="55">
        <v>-0.75281680205111601</v>
      </c>
      <c r="RL2" s="55">
        <v>-0.77094230430880795</v>
      </c>
      <c r="RM2" s="55">
        <v>-0.78264076954277995</v>
      </c>
      <c r="RN2" s="55">
        <v>-0.72251528848967395</v>
      </c>
      <c r="RO2" s="55">
        <v>-0.74511927523301802</v>
      </c>
      <c r="RP2" s="55">
        <v>-0.75051490507570096</v>
      </c>
      <c r="RQ2" s="55">
        <v>-0.69342130164400895</v>
      </c>
      <c r="RR2" s="55">
        <v>-0.61895995953744598</v>
      </c>
      <c r="RS2" s="55">
        <v>-0.62406369378563598</v>
      </c>
      <c r="RT2" s="55">
        <v>-0.64135507488089805</v>
      </c>
      <c r="RU2" s="55">
        <v>-0.64323753925874905</v>
      </c>
      <c r="RV2" s="55">
        <v>-0.65341989685908897</v>
      </c>
      <c r="RW2" s="55">
        <v>-0.67241368162683601</v>
      </c>
      <c r="RX2" s="55">
        <v>-0.67704178776515</v>
      </c>
      <c r="RY2" s="55">
        <v>-1.0115745176993201</v>
      </c>
      <c r="RZ2" s="55">
        <v>-1.13022703756287</v>
      </c>
      <c r="SA2" s="55">
        <v>-1.1734452088715199</v>
      </c>
      <c r="SB2" s="55">
        <v>-1.2076049451437501</v>
      </c>
      <c r="SC2" s="55">
        <v>-1.43735338767825</v>
      </c>
      <c r="SD2" s="55">
        <v>-1.5544903397174501</v>
      </c>
      <c r="SE2" s="55">
        <v>-1.6190638896726599</v>
      </c>
      <c r="SF2" s="55">
        <v>-1.6811730964612399</v>
      </c>
      <c r="SG2" s="55">
        <v>-1.5901396222341599</v>
      </c>
      <c r="SH2" s="55">
        <v>-1.5383796190443699</v>
      </c>
      <c r="SI2" s="55">
        <v>-1.5876845777851001</v>
      </c>
      <c r="SJ2" s="55">
        <v>-1.6614726884656299</v>
      </c>
      <c r="SK2" s="55">
        <v>-1.67129978809284</v>
      </c>
      <c r="SL2" s="55">
        <v>-1.45062737914694</v>
      </c>
      <c r="SM2" s="55">
        <v>-1.5110490476790699</v>
      </c>
      <c r="SN2" s="55">
        <v>-1.5749954032823901</v>
      </c>
      <c r="SO2" s="55">
        <v>-1.6574454003555299</v>
      </c>
      <c r="SP2" s="55">
        <v>-1.55289143051297</v>
      </c>
      <c r="SQ2" s="55">
        <v>-1.56510357650737</v>
      </c>
    </row>
    <row r="3" spans="1:511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</row>
  </sheetData>
  <conditionalFormatting sqref="B2:SQ2">
    <cfRule type="cellIs" priority="2" operator="lessThan">
      <formula>0</formula>
    </cfRule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L2"/>
  <sheetViews>
    <sheetView tabSelected="1" zoomScale="170" zoomScaleNormal="170" workbookViewId="0">
      <selection activeCell="A3" sqref="A3:XFD3"/>
    </sheetView>
  </sheetViews>
  <sheetFormatPr baseColWidth="10" defaultColWidth="10.5" defaultRowHeight="15"/>
  <cols>
    <col min="760" max="1024" width="8.83203125" customWidth="1"/>
  </cols>
  <sheetData>
    <row r="1" spans="1:246">
      <c r="A1">
        <v>452000</v>
      </c>
      <c r="B1">
        <v>451000</v>
      </c>
      <c r="C1">
        <v>450000</v>
      </c>
      <c r="D1">
        <v>449000</v>
      </c>
      <c r="E1">
        <v>448000</v>
      </c>
      <c r="F1">
        <v>447000</v>
      </c>
      <c r="G1">
        <v>446000</v>
      </c>
      <c r="H1">
        <v>445000</v>
      </c>
      <c r="I1">
        <v>444000</v>
      </c>
      <c r="J1">
        <v>443000</v>
      </c>
      <c r="K1">
        <v>442000</v>
      </c>
      <c r="L1">
        <v>441000</v>
      </c>
      <c r="M1">
        <v>440000</v>
      </c>
      <c r="N1">
        <v>439000</v>
      </c>
      <c r="O1">
        <v>438000</v>
      </c>
      <c r="P1">
        <v>437000</v>
      </c>
      <c r="Q1">
        <v>436000</v>
      </c>
      <c r="R1">
        <v>435000</v>
      </c>
      <c r="S1">
        <v>434000</v>
      </c>
      <c r="T1">
        <v>433000</v>
      </c>
      <c r="U1">
        <v>432000</v>
      </c>
      <c r="V1">
        <v>431000</v>
      </c>
      <c r="W1">
        <v>430000</v>
      </c>
      <c r="X1">
        <v>429000</v>
      </c>
      <c r="Y1">
        <v>428000</v>
      </c>
      <c r="Z1">
        <v>427000</v>
      </c>
      <c r="AA1">
        <v>426000</v>
      </c>
      <c r="AB1">
        <v>425000</v>
      </c>
      <c r="AC1">
        <v>424000</v>
      </c>
      <c r="AD1">
        <v>423000</v>
      </c>
      <c r="AE1">
        <v>422000</v>
      </c>
      <c r="AF1">
        <v>421000</v>
      </c>
      <c r="AG1">
        <v>420000</v>
      </c>
      <c r="AH1">
        <v>419000</v>
      </c>
      <c r="AI1">
        <v>418000</v>
      </c>
      <c r="AJ1">
        <v>417000</v>
      </c>
      <c r="AK1">
        <v>416000</v>
      </c>
      <c r="AL1">
        <v>415000</v>
      </c>
      <c r="AM1">
        <v>414000</v>
      </c>
      <c r="AN1">
        <v>413000</v>
      </c>
      <c r="AO1">
        <v>412000</v>
      </c>
      <c r="AP1">
        <v>411000</v>
      </c>
      <c r="AQ1">
        <v>410000</v>
      </c>
      <c r="AR1">
        <v>409000</v>
      </c>
      <c r="AS1">
        <v>408000</v>
      </c>
      <c r="AT1">
        <v>407000</v>
      </c>
      <c r="AU1">
        <v>406000</v>
      </c>
      <c r="AV1">
        <v>405000</v>
      </c>
      <c r="AW1">
        <v>404000</v>
      </c>
      <c r="AX1">
        <v>403000</v>
      </c>
      <c r="AY1">
        <v>402000</v>
      </c>
      <c r="AZ1">
        <v>401000</v>
      </c>
      <c r="BA1">
        <v>400000</v>
      </c>
      <c r="BB1">
        <v>399000</v>
      </c>
      <c r="BC1">
        <v>398000</v>
      </c>
      <c r="BD1">
        <v>397000</v>
      </c>
      <c r="BE1">
        <v>396000</v>
      </c>
      <c r="BF1">
        <v>395000</v>
      </c>
      <c r="BG1">
        <v>394000</v>
      </c>
      <c r="BH1">
        <v>393000</v>
      </c>
      <c r="BI1">
        <v>392000</v>
      </c>
      <c r="BJ1">
        <v>391000</v>
      </c>
      <c r="BK1">
        <v>390000</v>
      </c>
      <c r="BL1">
        <v>389000</v>
      </c>
      <c r="BM1">
        <v>388000</v>
      </c>
      <c r="BN1">
        <v>387000</v>
      </c>
      <c r="BO1">
        <v>386000</v>
      </c>
      <c r="BP1">
        <v>385000</v>
      </c>
      <c r="BQ1">
        <v>331000</v>
      </c>
      <c r="BR1">
        <v>330000</v>
      </c>
      <c r="BS1">
        <v>329000</v>
      </c>
      <c r="BT1">
        <v>328000</v>
      </c>
      <c r="BU1">
        <v>327000</v>
      </c>
      <c r="BV1">
        <v>326000</v>
      </c>
      <c r="BW1">
        <v>325000</v>
      </c>
      <c r="BX1">
        <v>324000</v>
      </c>
      <c r="BY1">
        <v>323000</v>
      </c>
      <c r="BZ1">
        <v>322000</v>
      </c>
      <c r="CA1">
        <v>321000</v>
      </c>
      <c r="CB1">
        <v>320000</v>
      </c>
      <c r="CC1">
        <v>319000</v>
      </c>
      <c r="CD1">
        <v>318000</v>
      </c>
      <c r="CE1">
        <v>317000</v>
      </c>
      <c r="CF1">
        <v>316000</v>
      </c>
      <c r="CG1">
        <v>315000</v>
      </c>
      <c r="CH1">
        <v>314000</v>
      </c>
      <c r="CI1">
        <v>313000</v>
      </c>
      <c r="CJ1">
        <v>312000</v>
      </c>
      <c r="CK1">
        <v>311000</v>
      </c>
      <c r="CL1">
        <v>310000</v>
      </c>
      <c r="CM1">
        <v>309000</v>
      </c>
      <c r="CN1">
        <v>308000</v>
      </c>
      <c r="CO1">
        <v>307000</v>
      </c>
      <c r="CP1">
        <v>306000</v>
      </c>
      <c r="CQ1">
        <v>305000</v>
      </c>
      <c r="CR1">
        <v>304000</v>
      </c>
      <c r="CS1">
        <v>303000</v>
      </c>
      <c r="CT1">
        <v>302000</v>
      </c>
      <c r="CU1">
        <v>301000</v>
      </c>
      <c r="CV1">
        <v>300000</v>
      </c>
      <c r="CW1">
        <v>299000</v>
      </c>
      <c r="CX1">
        <v>298000</v>
      </c>
      <c r="CY1">
        <v>297000</v>
      </c>
      <c r="CZ1">
        <v>296000</v>
      </c>
      <c r="DA1">
        <v>295000</v>
      </c>
      <c r="DB1">
        <v>294000</v>
      </c>
      <c r="DC1">
        <v>293000</v>
      </c>
      <c r="DD1">
        <v>292000</v>
      </c>
      <c r="DE1">
        <v>291000</v>
      </c>
      <c r="DF1">
        <v>290000</v>
      </c>
      <c r="DG1">
        <v>289000</v>
      </c>
      <c r="DH1">
        <v>288000</v>
      </c>
      <c r="DI1">
        <v>287000</v>
      </c>
      <c r="DJ1">
        <v>286000</v>
      </c>
      <c r="DK1">
        <v>285000</v>
      </c>
      <c r="DL1">
        <v>284000</v>
      </c>
      <c r="DM1">
        <v>283000</v>
      </c>
      <c r="DN1">
        <v>282000</v>
      </c>
      <c r="DO1">
        <v>281000</v>
      </c>
      <c r="DP1">
        <v>280000</v>
      </c>
      <c r="DQ1">
        <v>279000</v>
      </c>
      <c r="DR1">
        <v>278000</v>
      </c>
      <c r="DS1">
        <v>269000</v>
      </c>
      <c r="DT1">
        <v>268000</v>
      </c>
      <c r="DU1">
        <v>267000</v>
      </c>
      <c r="DV1">
        <v>266000</v>
      </c>
      <c r="DW1">
        <v>265000</v>
      </c>
      <c r="DX1">
        <v>264000</v>
      </c>
      <c r="DY1">
        <v>263000</v>
      </c>
      <c r="DZ1">
        <v>262000</v>
      </c>
      <c r="EA1">
        <v>261000</v>
      </c>
      <c r="EB1">
        <v>260000</v>
      </c>
      <c r="EC1">
        <v>197000</v>
      </c>
      <c r="ED1">
        <v>196000</v>
      </c>
      <c r="EE1">
        <v>195000</v>
      </c>
      <c r="EF1">
        <v>194000</v>
      </c>
      <c r="EG1">
        <v>193000</v>
      </c>
      <c r="EH1">
        <v>192000</v>
      </c>
      <c r="EI1">
        <v>191000</v>
      </c>
      <c r="EJ1">
        <v>190000</v>
      </c>
      <c r="EK1">
        <v>189000</v>
      </c>
      <c r="EL1">
        <v>188000</v>
      </c>
      <c r="EM1">
        <v>187000</v>
      </c>
      <c r="EN1">
        <v>186000</v>
      </c>
      <c r="EO1">
        <v>185000</v>
      </c>
      <c r="EP1">
        <v>184000</v>
      </c>
      <c r="EQ1">
        <v>183000</v>
      </c>
      <c r="ER1">
        <v>182000</v>
      </c>
      <c r="ES1">
        <v>181000</v>
      </c>
      <c r="ET1">
        <v>180000</v>
      </c>
      <c r="EU1">
        <v>179000</v>
      </c>
      <c r="EV1">
        <v>178000</v>
      </c>
      <c r="EW1">
        <v>177000</v>
      </c>
      <c r="EX1">
        <v>176000</v>
      </c>
      <c r="EY1">
        <v>175000</v>
      </c>
      <c r="EZ1">
        <v>174000</v>
      </c>
      <c r="FA1">
        <v>173000</v>
      </c>
      <c r="FB1">
        <v>172000</v>
      </c>
      <c r="FC1">
        <v>171000</v>
      </c>
      <c r="FD1">
        <v>170000</v>
      </c>
      <c r="FE1">
        <v>169000</v>
      </c>
      <c r="FF1">
        <v>168000</v>
      </c>
      <c r="FG1">
        <v>167000</v>
      </c>
      <c r="FH1">
        <v>166000</v>
      </c>
      <c r="FI1">
        <v>165000</v>
      </c>
      <c r="FJ1">
        <v>164000</v>
      </c>
      <c r="FK1">
        <v>163000</v>
      </c>
      <c r="FL1">
        <v>162000</v>
      </c>
      <c r="FM1">
        <v>161000</v>
      </c>
      <c r="FN1">
        <v>160000</v>
      </c>
      <c r="FO1">
        <v>159000</v>
      </c>
      <c r="FP1">
        <v>132000</v>
      </c>
      <c r="FQ1">
        <v>131000</v>
      </c>
      <c r="FR1">
        <v>130000</v>
      </c>
      <c r="FS1">
        <v>129000</v>
      </c>
      <c r="FT1">
        <v>128000</v>
      </c>
      <c r="FU1">
        <v>127000</v>
      </c>
      <c r="FV1">
        <v>126000</v>
      </c>
      <c r="FW1">
        <v>125000</v>
      </c>
      <c r="FX1">
        <v>124000</v>
      </c>
      <c r="FY1">
        <v>123000</v>
      </c>
      <c r="FZ1">
        <v>122000</v>
      </c>
      <c r="GA1">
        <v>121000</v>
      </c>
      <c r="GB1">
        <v>120000</v>
      </c>
      <c r="GC1">
        <v>119000</v>
      </c>
      <c r="GD1">
        <v>118000</v>
      </c>
      <c r="GE1">
        <v>117000</v>
      </c>
      <c r="GF1">
        <v>116000</v>
      </c>
      <c r="GG1">
        <v>115000</v>
      </c>
      <c r="GH1">
        <v>114000</v>
      </c>
      <c r="GI1">
        <v>113000</v>
      </c>
      <c r="GJ1">
        <v>112000</v>
      </c>
      <c r="GK1">
        <v>111000</v>
      </c>
      <c r="GL1">
        <v>110000</v>
      </c>
      <c r="GM1">
        <v>109000</v>
      </c>
      <c r="GN1">
        <v>108000</v>
      </c>
      <c r="GO1">
        <v>107000</v>
      </c>
      <c r="GP1">
        <v>106000</v>
      </c>
      <c r="GQ1">
        <v>105000</v>
      </c>
      <c r="GR1">
        <v>104000</v>
      </c>
      <c r="GS1">
        <v>103000</v>
      </c>
      <c r="GT1">
        <v>102000</v>
      </c>
      <c r="GU1">
        <v>101000</v>
      </c>
      <c r="GV1">
        <v>100000</v>
      </c>
      <c r="GW1">
        <v>99000</v>
      </c>
      <c r="GX1">
        <v>98000</v>
      </c>
      <c r="GY1">
        <v>97000</v>
      </c>
      <c r="GZ1">
        <v>38000</v>
      </c>
      <c r="HA1">
        <v>37000</v>
      </c>
      <c r="HB1">
        <v>36000</v>
      </c>
      <c r="HC1">
        <v>35000</v>
      </c>
      <c r="HD1">
        <v>34000</v>
      </c>
      <c r="HE1">
        <v>33000</v>
      </c>
      <c r="HF1">
        <v>32000</v>
      </c>
      <c r="HG1">
        <v>31000</v>
      </c>
      <c r="HH1">
        <v>30000</v>
      </c>
      <c r="HI1">
        <v>29000</v>
      </c>
      <c r="HJ1">
        <v>28000</v>
      </c>
      <c r="HK1">
        <v>27000</v>
      </c>
      <c r="HL1">
        <v>26000</v>
      </c>
      <c r="HM1">
        <v>25000</v>
      </c>
      <c r="HN1">
        <v>24000</v>
      </c>
      <c r="HO1">
        <v>23000</v>
      </c>
      <c r="HP1">
        <v>22000</v>
      </c>
      <c r="HQ1">
        <v>21000</v>
      </c>
      <c r="HR1">
        <v>20000</v>
      </c>
      <c r="HS1">
        <v>19000</v>
      </c>
      <c r="HT1">
        <v>18000</v>
      </c>
      <c r="HU1">
        <v>17000</v>
      </c>
      <c r="HV1">
        <v>16000</v>
      </c>
      <c r="HW1">
        <v>15000</v>
      </c>
      <c r="HX1">
        <v>14000</v>
      </c>
      <c r="HY1">
        <v>13000</v>
      </c>
      <c r="HZ1">
        <v>12000</v>
      </c>
      <c r="IA1">
        <v>11000</v>
      </c>
      <c r="IB1">
        <v>10000</v>
      </c>
      <c r="IC1">
        <v>9000</v>
      </c>
      <c r="ID1">
        <v>8000</v>
      </c>
      <c r="IE1">
        <v>7000</v>
      </c>
      <c r="IF1">
        <v>6000</v>
      </c>
      <c r="IG1">
        <v>5000</v>
      </c>
      <c r="IH1">
        <v>4000</v>
      </c>
      <c r="II1">
        <v>3000</v>
      </c>
      <c r="IJ1">
        <v>2000</v>
      </c>
      <c r="IK1">
        <v>1000</v>
      </c>
      <c r="IL1">
        <v>0</v>
      </c>
    </row>
    <row r="2" spans="1:246">
      <c r="A2" s="55">
        <v>0.218287762050174</v>
      </c>
      <c r="B2" s="55">
        <v>0.242154561419647</v>
      </c>
      <c r="C2" s="55">
        <v>0.24807319297323199</v>
      </c>
      <c r="D2" s="55">
        <v>0.26861053295202098</v>
      </c>
      <c r="E2" s="55">
        <v>0.26001098130672001</v>
      </c>
      <c r="F2" s="55">
        <v>0.25678731803559002</v>
      </c>
      <c r="G2" s="55">
        <v>0.252019051039856</v>
      </c>
      <c r="H2" s="55">
        <v>0.28614770176584697</v>
      </c>
      <c r="I2" s="55">
        <v>0.27264695105606301</v>
      </c>
      <c r="J2" s="55">
        <v>0.26389011151796798</v>
      </c>
      <c r="K2" s="55">
        <v>0.25907821157946398</v>
      </c>
      <c r="L2" s="55">
        <v>0.26555799657198698</v>
      </c>
      <c r="M2" s="55">
        <v>0.27327366016393301</v>
      </c>
      <c r="N2" s="55">
        <v>0.26955373325286203</v>
      </c>
      <c r="O2" s="55">
        <v>0.27249410783855499</v>
      </c>
      <c r="P2" s="55">
        <v>0.26874494832850199</v>
      </c>
      <c r="Q2" s="55">
        <v>0.26749727723584299</v>
      </c>
      <c r="R2" s="55">
        <v>0.27415050822522302</v>
      </c>
      <c r="S2" s="55">
        <v>0.27000791071886998</v>
      </c>
      <c r="T2" s="55">
        <v>0.26524397289349599</v>
      </c>
      <c r="U2" s="55">
        <v>0.25110839680515801</v>
      </c>
      <c r="V2" s="55">
        <v>0.25178041135214602</v>
      </c>
      <c r="W2" s="55">
        <v>0.25097508399596102</v>
      </c>
      <c r="X2" s="55">
        <v>0.249573525848204</v>
      </c>
      <c r="Y2" s="55">
        <v>0.248246710329591</v>
      </c>
      <c r="Z2" s="55">
        <v>0.244190486248718</v>
      </c>
      <c r="AA2" s="55">
        <v>0.23768831269093699</v>
      </c>
      <c r="AB2" s="55">
        <v>0.237451911182466</v>
      </c>
      <c r="AC2" s="55">
        <v>0.23243916655879501</v>
      </c>
      <c r="AD2" s="55">
        <v>0.23047764840206</v>
      </c>
      <c r="AE2" s="55">
        <v>0.23115654534220101</v>
      </c>
      <c r="AF2" s="55">
        <v>0.23253753232711299</v>
      </c>
      <c r="AG2" s="55">
        <v>0.23370478388911201</v>
      </c>
      <c r="AH2" s="55">
        <v>0.242019644321778</v>
      </c>
      <c r="AI2" s="55">
        <v>0.24658609183497299</v>
      </c>
      <c r="AJ2" s="55">
        <v>0.247090261432723</v>
      </c>
      <c r="AK2" s="55">
        <v>0.246581438665332</v>
      </c>
      <c r="AL2" s="55">
        <v>0.25053480333386302</v>
      </c>
      <c r="AM2" s="55">
        <v>0.25112196030916001</v>
      </c>
      <c r="AN2" s="55">
        <v>0.25100135202232898</v>
      </c>
      <c r="AO2" s="55">
        <v>0.25829207246095598</v>
      </c>
      <c r="AP2" s="55">
        <v>0.24822837025870101</v>
      </c>
      <c r="AQ2" s="55">
        <v>0.24387064017698501</v>
      </c>
      <c r="AR2" s="55">
        <v>0.24031476015127201</v>
      </c>
      <c r="AS2" s="55">
        <v>0.234107916227762</v>
      </c>
      <c r="AT2" s="55">
        <v>0.22831783870164499</v>
      </c>
      <c r="AU2" s="55">
        <v>0.225106692177926</v>
      </c>
      <c r="AV2" s="55">
        <v>0.22416794220688699</v>
      </c>
      <c r="AW2" s="55">
        <v>0.21369497894883099</v>
      </c>
      <c r="AX2" s="55">
        <v>0.20984627977863299</v>
      </c>
      <c r="AY2" s="55">
        <v>0.208755840271381</v>
      </c>
      <c r="AZ2" s="55">
        <v>0.20416949966219</v>
      </c>
      <c r="BA2" s="55">
        <v>0.200962510607745</v>
      </c>
      <c r="BB2" s="55">
        <v>0.19769889556654899</v>
      </c>
      <c r="BC2" s="55">
        <v>0.194071140071961</v>
      </c>
      <c r="BD2" s="55">
        <v>0.19021672391097699</v>
      </c>
      <c r="BE2" s="55">
        <v>0.189427005885968</v>
      </c>
      <c r="BF2" s="55">
        <v>0.17901978568929</v>
      </c>
      <c r="BG2" s="55">
        <v>0.170835326673315</v>
      </c>
      <c r="BH2" s="55">
        <v>0.175405640922146</v>
      </c>
      <c r="BI2" s="55">
        <v>0.17400560892227299</v>
      </c>
      <c r="BJ2" s="55">
        <v>0.169714751239673</v>
      </c>
      <c r="BK2" s="55">
        <v>0.164523258995741</v>
      </c>
      <c r="BL2" s="55">
        <v>0.16852361636140301</v>
      </c>
      <c r="BM2" s="55">
        <v>0.16758654355934599</v>
      </c>
      <c r="BN2" s="55">
        <v>0.16247182160600501</v>
      </c>
      <c r="BO2" s="55">
        <v>0.157894136301716</v>
      </c>
      <c r="BP2" s="55">
        <v>0.15189741203920001</v>
      </c>
      <c r="BQ2" s="55">
        <v>0.185271110923726</v>
      </c>
      <c r="BR2" s="55">
        <v>0.20147568542858199</v>
      </c>
      <c r="BS2" s="55">
        <v>0.22130596795829899</v>
      </c>
      <c r="BT2" s="55">
        <v>0.21989877820693399</v>
      </c>
      <c r="BU2" s="55">
        <v>0.22341294131450601</v>
      </c>
      <c r="BV2" s="55">
        <v>0.22648427323261899</v>
      </c>
      <c r="BW2" s="55">
        <v>0.222098030691149</v>
      </c>
      <c r="BX2" s="55">
        <v>0.22407293901297501</v>
      </c>
      <c r="BY2" s="55">
        <v>0.230523851855991</v>
      </c>
      <c r="BZ2" s="55">
        <v>0.23615629812930999</v>
      </c>
      <c r="CA2" s="55">
        <v>0.23610234155947801</v>
      </c>
      <c r="CB2" s="55">
        <v>0.24087066599732801</v>
      </c>
      <c r="CC2" s="55">
        <v>0.24142252597859901</v>
      </c>
      <c r="CD2" s="55">
        <v>0.24450457802195899</v>
      </c>
      <c r="CE2" s="55">
        <v>0.25226863007828099</v>
      </c>
      <c r="CF2" s="55">
        <v>0.25609669184980099</v>
      </c>
      <c r="CG2" s="55">
        <v>0.236106908513079</v>
      </c>
      <c r="CH2" s="55">
        <v>0.24473120274691401</v>
      </c>
      <c r="CI2" s="55">
        <v>0.25720114042103798</v>
      </c>
      <c r="CJ2" s="55">
        <v>0.256676470626233</v>
      </c>
      <c r="CK2" s="55">
        <v>0.257976687706575</v>
      </c>
      <c r="CL2" s="55">
        <v>0.24765877198516101</v>
      </c>
      <c r="CM2" s="55">
        <v>0.24096292844967099</v>
      </c>
      <c r="CN2" s="55">
        <v>0.238143621316113</v>
      </c>
      <c r="CO2" s="55">
        <v>0.232957343213404</v>
      </c>
      <c r="CP2" s="55">
        <v>0.22254820173844</v>
      </c>
      <c r="CQ2" s="55">
        <v>0.22058683615903499</v>
      </c>
      <c r="CR2" s="55">
        <v>0.21752806119641099</v>
      </c>
      <c r="CS2" s="55">
        <v>0.20939223296758999</v>
      </c>
      <c r="CT2" s="55">
        <v>0.20394353313131799</v>
      </c>
      <c r="CU2" s="55">
        <v>0.20178372336591299</v>
      </c>
      <c r="CV2" s="55">
        <v>0.200508888373511</v>
      </c>
      <c r="CW2" s="55">
        <v>0.192433363297382</v>
      </c>
      <c r="CX2" s="55">
        <v>0.18933573824747901</v>
      </c>
      <c r="CY2" s="55">
        <v>0.18595489183976299</v>
      </c>
      <c r="CZ2" s="55">
        <v>0.18281031734856701</v>
      </c>
      <c r="DA2" s="55">
        <v>0.18029175553451299</v>
      </c>
      <c r="DB2" s="55">
        <v>0.17726344645835601</v>
      </c>
      <c r="DC2" s="55">
        <v>0.173951894179769</v>
      </c>
      <c r="DD2" s="55">
        <v>0.173247864488871</v>
      </c>
      <c r="DE2" s="55">
        <v>0.179562693217103</v>
      </c>
      <c r="DF2" s="55">
        <v>0.17662274376863199</v>
      </c>
      <c r="DG2" s="55">
        <v>0.17393818634372901</v>
      </c>
      <c r="DH2" s="60">
        <v>0.17382256040524699</v>
      </c>
      <c r="DI2" s="55">
        <v>0.17881696186912599</v>
      </c>
      <c r="DJ2" s="55">
        <v>0.17652956143408899</v>
      </c>
      <c r="DK2" s="55">
        <v>0.17337043008085901</v>
      </c>
      <c r="DL2" s="55">
        <v>0.17110928927149199</v>
      </c>
      <c r="DM2" s="55">
        <v>0.16566765264875999</v>
      </c>
      <c r="DN2" s="55">
        <v>0.16255268742738599</v>
      </c>
      <c r="DO2" s="55">
        <v>0.16037566226422501</v>
      </c>
      <c r="DP2" s="55">
        <v>0.15868923256107301</v>
      </c>
      <c r="DQ2" s="55">
        <v>0.15457187724975399</v>
      </c>
      <c r="DR2" s="55">
        <v>0.14801502529323099</v>
      </c>
      <c r="DS2" s="55">
        <v>0.18367782008572001</v>
      </c>
      <c r="DT2" s="55">
        <v>0.18595677472220101</v>
      </c>
      <c r="DU2" s="55">
        <v>0.18315211046305699</v>
      </c>
      <c r="DV2" s="55">
        <v>0.185381846964805</v>
      </c>
      <c r="DW2" s="55">
        <v>0.25080643706420602</v>
      </c>
      <c r="DX2" s="55">
        <v>0.38239137837557202</v>
      </c>
      <c r="DY2" s="55">
        <v>0.16591193106933799</v>
      </c>
      <c r="DZ2" s="55">
        <v>0.16546638338672101</v>
      </c>
      <c r="EA2" s="55">
        <v>0.164433734865915</v>
      </c>
      <c r="EB2" s="55">
        <v>0.15388998547820101</v>
      </c>
      <c r="EC2" s="55">
        <v>0.39308345376783699</v>
      </c>
      <c r="ED2" s="55">
        <v>0.35126030952955101</v>
      </c>
      <c r="EE2" s="55">
        <v>0.30845366572062999</v>
      </c>
      <c r="EF2" s="55">
        <v>0.27807531400769597</v>
      </c>
      <c r="EG2" s="55">
        <v>0.26325063267806298</v>
      </c>
      <c r="EH2" s="55">
        <v>0.24978726966252701</v>
      </c>
      <c r="EI2" s="55">
        <v>0.24541899647225601</v>
      </c>
      <c r="EJ2" s="55">
        <v>0.24342317240480901</v>
      </c>
      <c r="EK2" s="55">
        <v>0.23952073478274799</v>
      </c>
      <c r="EL2" s="55">
        <v>0.22799036006978199</v>
      </c>
      <c r="EM2" s="55">
        <v>0.23060747433839399</v>
      </c>
      <c r="EN2" s="55">
        <v>0.234753451636349</v>
      </c>
      <c r="EO2" s="55">
        <v>0.23132875368025199</v>
      </c>
      <c r="EP2" s="55">
        <v>0.22877446411896901</v>
      </c>
      <c r="EQ2" s="55">
        <v>0.21281597783286799</v>
      </c>
      <c r="ER2" s="55">
        <v>0.21098915244953001</v>
      </c>
      <c r="ES2" s="55">
        <v>0.205187484939128</v>
      </c>
      <c r="ET2" s="55">
        <v>0.20399608427249799</v>
      </c>
      <c r="EU2" s="55">
        <v>0.20068733440807299</v>
      </c>
      <c r="EV2" s="55">
        <v>0.196088051787459</v>
      </c>
      <c r="EW2" s="55">
        <v>0.18873899631399099</v>
      </c>
      <c r="EX2" s="55">
        <v>0.185144945431861</v>
      </c>
      <c r="EY2" s="55">
        <v>0.182233994670321</v>
      </c>
      <c r="EZ2" s="55">
        <v>0.179481862958356</v>
      </c>
      <c r="FA2" s="55">
        <v>0.175876814467227</v>
      </c>
      <c r="FB2" s="55">
        <v>0.16936091887152999</v>
      </c>
      <c r="FC2" s="55">
        <v>0.16651989209100099</v>
      </c>
      <c r="FD2" s="55">
        <v>0.16474361608902799</v>
      </c>
      <c r="FE2" s="55">
        <v>0.16247590290602401</v>
      </c>
      <c r="FF2" s="55">
        <v>0.17654314978546101</v>
      </c>
      <c r="FG2" s="55">
        <v>0.17871182817065701</v>
      </c>
      <c r="FH2" s="55">
        <v>0.17630645152002999</v>
      </c>
      <c r="FI2" s="55">
        <v>0.175939155820307</v>
      </c>
      <c r="FJ2" s="55">
        <v>0.175901178563729</v>
      </c>
      <c r="FK2" s="55">
        <v>0.18110404312261599</v>
      </c>
      <c r="FL2" s="55">
        <v>0.17751669509578599</v>
      </c>
      <c r="FM2" s="55">
        <v>0.173903960777886</v>
      </c>
      <c r="FN2" s="55">
        <v>0.170110545841822</v>
      </c>
      <c r="FO2" s="55">
        <v>0.154674691845611</v>
      </c>
      <c r="FP2" s="55">
        <v>0.15464766857457399</v>
      </c>
      <c r="FQ2" s="55">
        <v>0.15768001887126601</v>
      </c>
      <c r="FR2" s="55">
        <v>0.160654894293697</v>
      </c>
      <c r="FS2" s="60">
        <v>0.162692877574872</v>
      </c>
      <c r="FT2" s="55">
        <v>0.167358239687074</v>
      </c>
      <c r="FU2" s="55">
        <v>0.17355460170446499</v>
      </c>
      <c r="FV2" s="55">
        <v>0.17661160245633201</v>
      </c>
      <c r="FW2" s="55">
        <v>0.17631317508807401</v>
      </c>
      <c r="FX2" s="55">
        <v>0.180699681715035</v>
      </c>
      <c r="FY2" s="55">
        <v>0.185194159782682</v>
      </c>
      <c r="FZ2" s="55">
        <v>0.18983502690141299</v>
      </c>
      <c r="GA2" s="55">
        <v>0.19508852921678499</v>
      </c>
      <c r="GB2" s="55">
        <v>0.198247907108378</v>
      </c>
      <c r="GC2" s="55">
        <v>0.203006870327475</v>
      </c>
      <c r="GD2" s="55">
        <v>0.239279248405319</v>
      </c>
      <c r="GE2" s="55">
        <v>0.26055967556519599</v>
      </c>
      <c r="GF2" s="55">
        <v>0.27518415542557401</v>
      </c>
      <c r="GG2" s="55">
        <v>0.32461952987255699</v>
      </c>
      <c r="GH2" s="55">
        <v>0.385163582036887</v>
      </c>
      <c r="GI2" s="55">
        <f>GK2</f>
        <v>0.22492752112780601</v>
      </c>
      <c r="GJ2" s="55">
        <v>0.21674315603336999</v>
      </c>
      <c r="GK2" s="55">
        <v>0.22492752112780601</v>
      </c>
      <c r="GL2" s="55">
        <v>0.224032223478562</v>
      </c>
      <c r="GM2" s="55">
        <v>0.22512009372641201</v>
      </c>
      <c r="GN2" s="55">
        <v>0.228373329908932</v>
      </c>
      <c r="GO2" s="55">
        <v>0.227468725793187</v>
      </c>
      <c r="GP2" s="55">
        <v>0.214432119366601</v>
      </c>
      <c r="GQ2" s="55">
        <v>0.23635869800874301</v>
      </c>
      <c r="GR2" s="55">
        <v>0.23862086677254499</v>
      </c>
      <c r="GS2" s="55">
        <v>0.248735312025674</v>
      </c>
      <c r="GT2" s="55">
        <v>0.232632329661183</v>
      </c>
      <c r="GU2" s="55">
        <v>0.22811218936531699</v>
      </c>
      <c r="GV2" s="55">
        <v>0.25215738732276399</v>
      </c>
      <c r="GW2" s="55">
        <v>0.36555573591360002</v>
      </c>
      <c r="GX2" s="55">
        <v>0.156749754978464</v>
      </c>
      <c r="GY2" s="55">
        <v>0.151326171087766</v>
      </c>
      <c r="GZ2" s="60">
        <v>0.18565936077560599</v>
      </c>
      <c r="HA2" s="55">
        <v>0.24835532569535701</v>
      </c>
      <c r="HB2" s="55">
        <v>0.24205651767747499</v>
      </c>
      <c r="HC2" s="55">
        <v>0.228626690918319</v>
      </c>
      <c r="HD2" s="55">
        <v>0.220755948596327</v>
      </c>
      <c r="HE2" s="55">
        <v>0.228861562599776</v>
      </c>
      <c r="HF2" s="55">
        <v>0.21091264681805599</v>
      </c>
      <c r="HG2" s="55">
        <v>0.20358561553792801</v>
      </c>
      <c r="HH2" s="60">
        <v>0.198663285293778</v>
      </c>
      <c r="HI2" s="55">
        <v>0.19059430735765701</v>
      </c>
      <c r="HJ2" s="55">
        <v>0.188494309895337</v>
      </c>
      <c r="HK2" s="55">
        <v>0.18824284631986499</v>
      </c>
      <c r="HL2" s="55">
        <v>0.18337025461640499</v>
      </c>
      <c r="HM2" s="55">
        <v>0.179786871845665</v>
      </c>
      <c r="HN2" s="55">
        <v>0.17856181297380699</v>
      </c>
      <c r="HO2" s="60">
        <v>0.17809325066087101</v>
      </c>
      <c r="HP2" s="55">
        <v>0.17817570817262701</v>
      </c>
      <c r="HQ2" s="55">
        <v>0.177151807304162</v>
      </c>
      <c r="HR2" s="55">
        <v>0.17208578036417399</v>
      </c>
      <c r="HS2" s="55">
        <v>0.17223779293986199</v>
      </c>
      <c r="HT2" s="55">
        <v>0.18240017080354301</v>
      </c>
      <c r="HU2" s="55">
        <v>0.18570521892641301</v>
      </c>
      <c r="HV2" s="55">
        <v>0.18506187146995301</v>
      </c>
      <c r="HW2" s="60">
        <v>0.18407624101119699</v>
      </c>
      <c r="HX2" s="55">
        <v>0.18957364824942</v>
      </c>
      <c r="HY2" s="55">
        <v>0.19124399550385501</v>
      </c>
      <c r="HZ2" s="55">
        <v>0.19294043873380201</v>
      </c>
      <c r="IA2" s="55">
        <v>0.19398240464045499</v>
      </c>
      <c r="IB2" s="55">
        <v>0.19156339142266299</v>
      </c>
      <c r="IC2" s="55">
        <v>0.19006790560078099</v>
      </c>
      <c r="ID2" s="60">
        <v>0.19135207916107599</v>
      </c>
      <c r="IE2" s="55">
        <v>0.193456449416163</v>
      </c>
      <c r="IF2" s="55">
        <v>0.19765020850704201</v>
      </c>
      <c r="IG2" s="55">
        <v>0.19135864647075199</v>
      </c>
      <c r="IH2" s="55">
        <v>0.193365610481216</v>
      </c>
      <c r="II2" s="55">
        <v>0.19567030665967799</v>
      </c>
      <c r="IJ2" s="55">
        <v>0.19892165487566699</v>
      </c>
      <c r="IK2" s="55">
        <v>0.19623957189729499</v>
      </c>
      <c r="IL2" s="60">
        <v>0.196603206077788</v>
      </c>
    </row>
  </sheetData>
  <conditionalFormatting sqref="A2:IL2">
    <cfRule type="cellIs" priority="2" operator="greaterThan">
      <formula>0</formula>
    </cfRule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4093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MainParams</vt:lpstr>
      <vt:lpstr>CO2_thicknesses</vt:lpstr>
      <vt:lpstr>H2O_thicknesses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Isola</dc:creator>
  <dc:description/>
  <cp:lastModifiedBy>Kasra Bozorgmehri-Fard</cp:lastModifiedBy>
  <cp:revision>90</cp:revision>
  <dcterms:created xsi:type="dcterms:W3CDTF">2020-02-26T08:47:06Z</dcterms:created>
  <dcterms:modified xsi:type="dcterms:W3CDTF">2024-12-01T21:58:27Z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